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come &amp; Tax" sheetId="2" state="visible" r:id="rId4"/>
    <sheet name="Budget" sheetId="3" state="visible" r:id="rId5"/>
    <sheet name="Savings Plan" sheetId="4" state="visible" r:id="rId6"/>
    <sheet name="Investments" sheetId="5" state="visible" r:id="rId7"/>
    <sheet name="FHSS" sheetId="6" state="visible" r:id="rId8"/>
    <sheet name="House &amp; Scheme" sheetId="7" state="visible" r:id="rId9"/>
    <sheet name="Inpu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<sst xmlns="http://schemas.openxmlformats.org/spreadsheetml/2006/main" count="299" uniqueCount="258">
  <si>
    <t xml:space="preserve">Thomas Severn — Financial Plan</t>
  </si>
  <si>
    <t xml:space="preserve">West Carr &amp; Harvey · commenced 24 Aug 2026 · built Aug 2026</t>
  </si>
  <si>
    <t xml:space="preserve">NET INCOME / MONTH (full-time)</t>
  </si>
  <si>
    <t xml:space="preserve">MONTHLY SURPLUS (2027, full-time)</t>
  </si>
  <si>
    <t xml:space="preserve">after tax, Medicare, $0 HECS</t>
  </si>
  <si>
    <t xml:space="preserve">what you can save each month</t>
  </si>
  <si>
    <t xml:space="preserve">EMERGENCY FUND TARGET</t>
  </si>
  <si>
    <t xml:space="preserve">NET DEPOSIT GOAL</t>
  </si>
  <si>
    <t xml:space="preserve">build this first — then pivot to deposit</t>
  </si>
  <si>
    <t xml:space="preserve">5% deposit + costs − FHOG</t>
  </si>
  <si>
    <t xml:space="preserve">DEPOSIT SAVED BY END 2029</t>
  </si>
  <si>
    <t xml:space="preserve">FHSS TAX SAVING (per $15k yr)</t>
  </si>
  <si>
    <t xml:space="preserve">on current plan, cash only</t>
  </si>
  <si>
    <t xml:space="preserve">route savings via super</t>
  </si>
  <si>
    <t xml:space="preserve">  What changed / what matters</t>
  </si>
  <si>
    <t xml:space="preserve">•  HECS: you pay $0 compulsory repayments — your ~$60.7k salary is under the new $69,528 threshold.</t>
  </si>
  <si>
    <t xml:space="preserve">•  Scheme: the Regional guarantee merged into the national 5% Deposit Scheme (1 Oct 2025) — no income caps, Geelong $950k cap.</t>
  </si>
  <si>
    <t xml:space="preserve">•  Your deposit will be ready well before your borrowing capacity is — 2029 timing hinges on income growth + your partner's income.</t>
  </si>
  <si>
    <t xml:space="preserve">•  Living at home = a very high savings rate. Emergency fund ($5k) fills in ~2 months, then everything goes to the deposit.</t>
  </si>
  <si>
    <t xml:space="preserve">Tabs:  Income &amp; Tax · Budget · Savings Plan (month-by-month) · FHSS · House &amp; Scheme · Inputs (edit yellow cells)</t>
  </si>
  <si>
    <t xml:space="preserve">General information to help you plan, prepared from the figures you gave me — not personal financial, tax or credit advice. Confirm specifics with your accountant / a licensed adviser before acting.</t>
  </si>
  <si>
    <t xml:space="preserve">  Income &amp; Tax  —  new WCH salary (2026-27 rules)</t>
  </si>
  <si>
    <t xml:space="preserve">Annualised figures</t>
  </si>
  <si>
    <t xml:space="preserve">Part-time</t>
  </si>
  <si>
    <t xml:space="preserve">Full-time</t>
  </si>
  <si>
    <t xml:space="preserve">Notes</t>
  </si>
  <si>
    <t xml:space="preserve">Salary package (incl. super)</t>
  </si>
  <si>
    <t xml:space="preserve">Cash salary (taxable income)</t>
  </si>
  <si>
    <t xml:space="preserve">This is what's taxed</t>
  </si>
  <si>
    <t xml:space="preserve">Employer super (to UniSuper)</t>
  </si>
  <si>
    <t xml:space="preserve">Grows your super, incl. FHSS room</t>
  </si>
  <si>
    <t xml:space="preserve">Income tax (2025-26 scale)</t>
  </si>
  <si>
    <t xml:space="preserve">Nil to $18,200; 16%; 30%; 37%; 45%</t>
  </si>
  <si>
    <t xml:space="preserve">less Low Income Tax Offset (LITO)</t>
  </si>
  <si>
    <t xml:space="preserve">Reduces tax at low incomes</t>
  </si>
  <si>
    <t xml:space="preserve">Medicare levy (2%)</t>
  </si>
  <si>
    <t xml:space="preserve">2% of taxable income</t>
  </si>
  <si>
    <t xml:space="preserve">HECS-HELP compulsory repayment</t>
  </si>
  <si>
    <t xml:space="preserve">15c per $ above $69,528 — you're UNDER it</t>
  </si>
  <si>
    <t xml:space="preserve">Total tax + levies</t>
  </si>
  <si>
    <t xml:space="preserve">NET annual income</t>
  </si>
  <si>
    <t xml:space="preserve">NET per month</t>
  </si>
  <si>
    <t xml:space="preserve">NET per fortnight</t>
  </si>
  <si>
    <t xml:space="preserve">Phases:  Part-time (4 days, Mon–Thu) from 24 Aug 2026  →  Full-time (5 days) from 19 Oct 2026.</t>
  </si>
  <si>
    <t xml:space="preserve">HECS = $0 because your ~$60.7k cash salary is below the $69,528 threshold. It only starts once your income grows past that.</t>
  </si>
  <si>
    <t xml:space="preserve">  Monthly Budget</t>
  </si>
  <si>
    <t xml:space="preserve">Expense (monthly)</t>
  </si>
  <si>
    <t xml:space="preserve">2026 (now)</t>
  </si>
  <si>
    <t xml:space="preserve">2027+ </t>
  </si>
  <si>
    <t xml:space="preserve">Basis</t>
  </si>
  <si>
    <t xml:space="preserve">Board (living at parents')</t>
  </si>
  <si>
    <t xml:space="preserve">0</t>
  </si>
  <si>
    <t xml:space="preserve">$0 now → $100/wk from 2027</t>
  </si>
  <si>
    <t xml:space="preserve">Own groceries / food</t>
  </si>
  <si>
    <t xml:space="preserve">Your figure ÷ set weekly</t>
  </si>
  <si>
    <t xml:space="preserve">Fuel</t>
  </si>
  <si>
    <t xml:space="preserve">Weekly × 52 ÷ 12</t>
  </si>
  <si>
    <t xml:space="preserve">Car insurance</t>
  </si>
  <si>
    <t xml:space="preserve">Annual ÷ 12</t>
  </si>
  <si>
    <t xml:space="preserve">Car registration</t>
  </si>
  <si>
    <t xml:space="preserve">Gym</t>
  </si>
  <si>
    <t xml:space="preserve">Fortnightly × 26 ÷ 12</t>
  </si>
  <si>
    <t xml:space="preserve">Basketball (rego + games)</t>
  </si>
  <si>
    <t xml:space="preserve">Seasons + games ÷ 12</t>
  </si>
  <si>
    <t xml:space="preserve">Private health insurance</t>
  </si>
  <si>
    <t xml:space="preserve">$0 now → $130/mo from 2027</t>
  </si>
  <si>
    <t xml:space="preserve">Claude Pro</t>
  </si>
  <si>
    <t xml:space="preserve">Monthly</t>
  </si>
  <si>
    <t xml:space="preserve">iRacing</t>
  </si>
  <si>
    <t xml:space="preserve">US$/qtr x FX ÷ 3</t>
  </si>
  <si>
    <t xml:space="preserve">Fun money (nights out, sink fund)</t>
  </si>
  <si>
    <t xml:space="preserve">Weekly x 52 ÷ 12</t>
  </si>
  <si>
    <t xml:space="preserve">TOTAL monthly expenses</t>
  </si>
  <si>
    <t xml:space="preserve">Net income per month (full-time)</t>
  </si>
  <si>
    <t xml:space="preserve">less total expenses</t>
  </si>
  <si>
    <t xml:space="preserve">MONTHLY SURPLUS (full-time)</t>
  </si>
  <si>
    <t xml:space="preserve">Living at home keeps your cost base tiny — that surplus is the engine of the whole plan.</t>
  </si>
  <si>
    <t xml:space="preserve">  Savings Plan  —  emergency fund first, then house deposit</t>
  </si>
  <si>
    <t xml:space="preserve">Month</t>
  </si>
  <si>
    <t xml:space="preserve">Phase</t>
  </si>
  <si>
    <t xml:space="preserve">Net income</t>
  </si>
  <si>
    <t xml:space="preserve">Expenses</t>
  </si>
  <si>
    <t xml:space="preserve">Surplus</t>
  </si>
  <si>
    <t xml:space="preserve">Available</t>
  </si>
  <si>
    <t xml:space="preserve">→ Emerg.</t>
  </si>
  <si>
    <t xml:space="preserve">Emerg. bal</t>
  </si>
  <si>
    <t xml:space="preserve">→ Deposit</t>
  </si>
  <si>
    <t xml:space="preserve">Deposit bal</t>
  </si>
  <si>
    <t xml:space="preserve">Opening</t>
  </si>
  <si>
    <t xml:space="preserve">(ANZ Plus →)</t>
  </si>
  <si>
    <t xml:space="preserve">PT</t>
  </si>
  <si>
    <t xml:space="preserve">FT</t>
  </si>
  <si>
    <t xml:space="preserve">Deposit saved by target year end:</t>
  </si>
  <si>
    <t xml:space="preserve">Cruise (~$3,100) is paid from your ring-fenced holiday account, so it doesn't touch this savings flow.</t>
  </si>
  <si>
    <t xml:space="preserve">Shaded rows = January (board $100/wk + private health $130/mo begin, so surplus steps down).</t>
  </si>
  <si>
    <t xml:space="preserve">  Investments &amp; Net Position</t>
  </si>
  <si>
    <t xml:space="preserve">  Share portfolio  —  CMC Markets (a/c 677756)</t>
  </si>
  <si>
    <t xml:space="preserve">Code</t>
  </si>
  <si>
    <t xml:space="preserve">Company</t>
  </si>
  <si>
    <t xml:space="preserve">Units</t>
  </si>
  <si>
    <t xml:space="preserve">Last price (AUD)</t>
  </si>
  <si>
    <t xml:space="preserve">Value (AUD)</t>
  </si>
  <si>
    <t xml:space="preserve">Weight</t>
  </si>
  <si>
    <t xml:space="preserve">Est. gross div/yr</t>
  </si>
  <si>
    <t xml:space="preserve">AGL</t>
  </si>
  <si>
    <t xml:space="preserve">AGL Energy</t>
  </si>
  <si>
    <t xml:space="preserve">ANZ</t>
  </si>
  <si>
    <t xml:space="preserve">ANZ Group Holdings</t>
  </si>
  <si>
    <t xml:space="preserve">LTR</t>
  </si>
  <si>
    <t xml:space="preserve">Liontown Resources</t>
  </si>
  <si>
    <t xml:space="preserve">ORG</t>
  </si>
  <si>
    <t xml:space="preserve">Origin Energy</t>
  </si>
  <si>
    <t xml:space="preserve">S32</t>
  </si>
  <si>
    <t xml:space="preserve">South32</t>
  </si>
  <si>
    <t xml:space="preserve">TOTAL</t>
  </si>
  <si>
    <t xml:space="preserve">Prices are the delayed figures from your screenshot — update the BLUE units/price as your holdings change. Yellow column: add each stock's gross dividend/yr (incl. franking) to capture it as income.</t>
  </si>
  <si>
    <t xml:space="preserve">  Net position (simple net worth)</t>
  </si>
  <si>
    <t xml:space="preserve">Share portfolio</t>
  </si>
  <si>
    <t xml:space="preserve">Super (UniSuper)</t>
  </si>
  <si>
    <t xml:space="preserve">Cash — house deposit (ANZ Plus)</t>
  </si>
  <si>
    <t xml:space="preserve">Cash — holiday account (cruise)</t>
  </si>
  <si>
    <t xml:space="preserve">Cash — everyday</t>
  </si>
  <si>
    <t xml:space="preserve">Total assets</t>
  </si>
  <si>
    <t xml:space="preserve">less Credit card</t>
  </si>
  <si>
    <t xml:space="preserve">less HECS-HELP debt</t>
  </si>
  <si>
    <t xml:space="preserve">NET POSITION</t>
  </si>
  <si>
    <t xml:space="preserve">HECS drags the net figure negative today — normal for a new grad, and it's the cheapest debt you'll ever hold (2.8% indexation, $0 compulsory repayments at your income).</t>
  </si>
  <si>
    <t xml:space="preserve">  First Home Super Saver (FHSS) strategy</t>
  </si>
  <si>
    <t xml:space="preserve">Route some deposit savings through super: contributions taxed at 15% instead of your 32% marginal rate,</t>
  </si>
  <si>
    <t xml:space="preserve">then released (plus deemed earnings) when you buy. You've used $8k of your $50k lifetime cap.</t>
  </si>
  <si>
    <t xml:space="preserve">Lifetime cap position</t>
  </si>
  <si>
    <t xml:space="preserve">FHSS lifetime cap</t>
  </si>
  <si>
    <t xml:space="preserve">Max releasable across all years</t>
  </si>
  <si>
    <t xml:space="preserve">Already contributed (voluntary)</t>
  </si>
  <si>
    <t xml:space="preserve">Last FY — $7k concessional + $1k non-conc.</t>
  </si>
  <si>
    <t xml:space="preserve">Remaining lifetime headroom</t>
  </si>
  <si>
    <t xml:space="preserve">Room still to use</t>
  </si>
  <si>
    <t xml:space="preserve">If you contribute the annual max this year</t>
  </si>
  <si>
    <t xml:space="preserve">Annual voluntary cap</t>
  </si>
  <si>
    <t xml:space="preserve">Max counted per financial year</t>
  </si>
  <si>
    <t xml:space="preserve">  as concessional (salary sacrifice / deductible)</t>
  </si>
  <si>
    <t xml:space="preserve">Within your $30k concessional cap</t>
  </si>
  <si>
    <t xml:space="preserve">Tax on the way IN (15%)</t>
  </si>
  <si>
    <t xml:space="preserve">vs 32% if taken as normal pay</t>
  </si>
  <si>
    <t xml:space="preserve">Tax you'd have paid at 32% marginal</t>
  </si>
  <si>
    <t xml:space="preserve">30% + 2% Medicare</t>
  </si>
  <si>
    <t xml:space="preserve">→ Tax SAVED this year</t>
  </si>
  <si>
    <t xml:space="preserve">The FHSS advantage</t>
  </si>
  <si>
    <t xml:space="preserve">Amount counted toward release (85% of conc.)</t>
  </si>
  <si>
    <t xml:space="preserve">Only 85% of concessional counts</t>
  </si>
  <si>
    <t xml:space="preserve">Watch-outs</t>
  </si>
  <si>
    <t xml:space="preserve">•  Salary-sacrificed super counts toward your HECS 'repayment income' — but even adding $15k keeps you near/under the $69,528 line, so still ~$0 HECS.</t>
  </si>
  <si>
    <t xml:space="preserve">•  Money is locked in super until you request an ATO release for your first home — don't route your $5k emergency fund through it.</t>
  </si>
  <si>
    <t xml:space="preserve">•  Request the FHSS determination BEFORE you sign a contract, and release within 90 days of signing.</t>
  </si>
  <si>
    <t xml:space="preserve">•  Deemed earnings (not your fund's actual return) are added on release, using the ATO shortfall-interest rate.</t>
  </si>
  <si>
    <t xml:space="preserve">  House deposit &amp; the 5% Deposit Scheme</t>
  </si>
  <si>
    <t xml:space="preserve">Cash needed to buy (2029 target)</t>
  </si>
  <si>
    <t xml:space="preserve">House-and-land target</t>
  </si>
  <si>
    <t xml:space="preserve">Set your real target on Inputs</t>
  </si>
  <si>
    <t xml:space="preserve">Deposit at 5% (no LMI)</t>
  </si>
  <si>
    <t xml:space="preserve">Home Guarantee = 5% deposit</t>
  </si>
  <si>
    <t xml:space="preserve">plus buying costs</t>
  </si>
  <si>
    <t xml:space="preserve">Conveyancing, inspections, loan fees</t>
  </si>
  <si>
    <t xml:space="preserve">less First Home Owner Grant</t>
  </si>
  <si>
    <t xml:space="preserve">VIC new-build grant (under $750k)</t>
  </si>
  <si>
    <t xml:space="preserve">NET CASH TO SAVE</t>
  </si>
  <si>
    <t xml:space="preserve">Your real deposit goal</t>
  </si>
  <si>
    <t xml:space="preserve">When you'll have it</t>
  </si>
  <si>
    <t xml:space="preserve">Deposit already saved (ANZ Plus)</t>
  </si>
  <si>
    <t xml:space="preserve">Starting point</t>
  </si>
  <si>
    <t xml:space="preserve">Monthly surplus to deposit (2027+, full-time)</t>
  </si>
  <si>
    <t xml:space="preserve">Months to reach net cash goal (after emerg.)</t>
  </si>
  <si>
    <t xml:space="preserve">Approx, at full-time surplus</t>
  </si>
  <si>
    <t xml:space="preserve">The binding constraint isn't the deposit — it's borrowing power</t>
  </si>
  <si>
    <t xml:space="preserve">•  At a ~$60.7k solo salary, a lender will advance only roughly $340k–$400k. A $680k build needs a ~$646k loan — well beyond solo capacity.</t>
  </si>
  <si>
    <t xml:space="preserve">•  So your DEPOSIT will be ready years before your BORROWING CAPACITY is. The 2029 timing really depends on: (a) your income growth as you qualify CA, and (b) your partner's income being added to the application.</t>
  </si>
  <si>
    <t xml:space="preserve">•  Clearing HECS before you apply can lift borrowing capacity (lenders count the repayment) — but it's cheap debt (2.8% indexation), so weigh that against keeping cash liquid.</t>
  </si>
  <si>
    <t xml:space="preserve">•  This is general information, not personal credit advice — a mortgage broker can model your actual capacity nearer the time.</t>
  </si>
  <si>
    <t xml:space="preserve">Scheme facts (verified Aug 2026)</t>
  </si>
  <si>
    <t xml:space="preserve">•  Regional First Home Guarantee was merged into the national 5% Deposit Scheme on 1 Oct 2025.</t>
  </si>
  <si>
    <t xml:space="preserve">•  No income caps and no place limits from 1 Oct 2025 — your salary growth won't lock you out.</t>
  </si>
  <si>
    <t xml:space="preserve">•  Geelong sits at the higher $950k price cap; other regional VIC is $650k. Confirm Armstrong Creek's postcode tier via Housing Australia before signing a build contract.</t>
  </si>
  <si>
    <t xml:space="preserve">•  For a new build, the cap applies to land + build combined.</t>
  </si>
  <si>
    <t xml:space="preserve">  Inputs &amp; Assumptions  —  edit BLUE cells; YELLOW cells need your confirmation</t>
  </si>
  <si>
    <t xml:space="preserve">EMPLOYMENT — West Carr &amp; Harvey</t>
  </si>
  <si>
    <t xml:space="preserve">Salary package (incl. super), FTE</t>
  </si>
  <si>
    <t xml:space="preserve">Schedule 1, Item 6 — inclusive of super guarantee</t>
  </si>
  <si>
    <t xml:space="preserve">Superannuation guarantee rate</t>
  </si>
  <si>
    <t xml:space="preserve">12% from 1 Jul 2025</t>
  </si>
  <si>
    <t xml:space="preserve">Part-time fraction (4 of 5 days)</t>
  </si>
  <si>
    <t xml:space="preserve">30 hrs / 37.5 hrs = 80% until 19 Oct 2026</t>
  </si>
  <si>
    <t xml:space="preserve">ACCOUNT BALANCES (opening)</t>
  </si>
  <si>
    <t xml:space="preserve">Everyday transaction account</t>
  </si>
  <si>
    <t xml:space="preserve">You confirmed $0 now; final Bowls pay (~$1,110) lands Wed and flows in via the Savings Plan</t>
  </si>
  <si>
    <t xml:space="preserve">ANZ Plus — house deposit account</t>
  </si>
  <si>
    <t xml:space="preserve">Your stated balance</t>
  </si>
  <si>
    <t xml:space="preserve">Holiday account (Dec cruise)</t>
  </si>
  <si>
    <t xml:space="preserve">Ring-fenced; spent on cruise, not deposit</t>
  </si>
  <si>
    <t xml:space="preserve">Credit card balance owing</t>
  </si>
  <si>
    <t xml:space="preserve">Limit $2,000; clear this first</t>
  </si>
  <si>
    <t xml:space="preserve">Share portfolio (CMC)</t>
  </si>
  <si>
    <t xml:space="preserve">Live total from Investments tab</t>
  </si>
  <si>
    <t xml:space="preserve">UniSuper balance</t>
  </si>
  <si>
    <t xml:space="preserve">Includes $8,000 FHSS-eligible contributions</t>
  </si>
  <si>
    <t xml:space="preserve">DEBTS</t>
  </si>
  <si>
    <t xml:space="preserve">HECS-HELP balance</t>
  </si>
  <si>
    <t xml:space="preserve">Already reflects the 20% cut (applied 1 Jun 2025)</t>
  </si>
  <si>
    <t xml:space="preserve">Remaining units to add (4 x $2,174)</t>
  </si>
  <si>
    <t xml:space="preserve">4 units incl. ASC320; added as you enrol</t>
  </si>
  <si>
    <t xml:space="preserve">EXPENSES (as you gave them)</t>
  </si>
  <si>
    <t xml:space="preserve">Fuel — per week</t>
  </si>
  <si>
    <t xml:space="preserve">You said $50–60/wk; midpoint used</t>
  </si>
  <si>
    <t xml:space="preserve">Car insurance — per year</t>
  </si>
  <si>
    <t xml:space="preserve">Paid 11 Apr; renews annually</t>
  </si>
  <si>
    <t xml:space="preserve">Car registration — per year</t>
  </si>
  <si>
    <t xml:space="preserve">Gym — per fortnight</t>
  </si>
  <si>
    <t xml:space="preserve">Basketball registration — per season</t>
  </si>
  <si>
    <t xml:space="preserve">PlayHQ: levy $5.50 + BV $48 + GUB $75</t>
  </si>
  <si>
    <t xml:space="preserve">Basketball seasons per year</t>
  </si>
  <si>
    <t xml:space="preserve">Winter + Summer comps</t>
  </si>
  <si>
    <t xml:space="preserve">Basketball — per game (Franks Tanks)</t>
  </si>
  <si>
    <t xml:space="preserve">Basketball games per year</t>
  </si>
  <si>
    <t xml:space="preserve">~16 games x 2 seasons</t>
  </si>
  <si>
    <t xml:space="preserve">Claude Pro — per month</t>
  </si>
  <si>
    <t xml:space="preserve">Your figure: $34 AUD/month</t>
  </si>
  <si>
    <t xml:space="preserve">iRacing — per quarter (USD)</t>
  </si>
  <si>
    <t xml:space="preserve">Your figure: US$36.30 every 3 months</t>
  </si>
  <si>
    <t xml:space="preserve">FX rate  USD -&gt; AUD</t>
  </si>
  <si>
    <t xml:space="preserve">Live rate ~Aug 2026; update as needed</t>
  </si>
  <si>
    <t xml:space="preserve">Own groceries / food — per week</t>
  </si>
  <si>
    <t xml:space="preserve">Your figure: $110/wk</t>
  </si>
  <si>
    <t xml:space="preserve">Board — per week (from Jan 2027)</t>
  </si>
  <si>
    <t xml:space="preserve">$0 in 2026; $100/wk from 2027</t>
  </si>
  <si>
    <t xml:space="preserve">Private health — per month (from Jan 2027)</t>
  </si>
  <si>
    <t xml:space="preserve">Starts start of 2027</t>
  </si>
  <si>
    <t xml:space="preserve">Fun money — per week (sink fund)</t>
  </si>
  <si>
    <t xml:space="preserve">Set aside weekly; spend on nights out etc.</t>
  </si>
  <si>
    <t xml:space="preserve">HOUSE GOAL — Armstrong Creek</t>
  </si>
  <si>
    <t xml:space="preserve">House-and-land target (land + build)</t>
  </si>
  <si>
    <t xml:space="preserve">ESTIMATE for a typical Armstrong Creek package — set your real target</t>
  </si>
  <si>
    <t xml:space="preserve">Deposit required (5% Deposit Scheme)</t>
  </si>
  <si>
    <t xml:space="preserve">5% with no LMI under the Home Guarantee</t>
  </si>
  <si>
    <t xml:space="preserve">First Home Owner Grant (new build)</t>
  </si>
  <si>
    <t xml:space="preserve">VIC FHOG for new homes under $750k</t>
  </si>
  <si>
    <t xml:space="preserve">Other buying costs</t>
  </si>
  <si>
    <t xml:space="preserve">Conveyancing, inspections, loan fees (est.)</t>
  </si>
  <si>
    <t xml:space="preserve">Target settlement year</t>
  </si>
  <si>
    <t xml:space="preserve">Your stated goal</t>
  </si>
  <si>
    <t xml:space="preserve">Emergency fund target</t>
  </si>
  <si>
    <t xml:space="preserve">Your stated goal — build this first</t>
  </si>
  <si>
    <t xml:space="preserve">TAX / SCHEME SETTINGS (2026-27)</t>
  </si>
  <si>
    <t xml:space="preserve">HECS repayment threshold 2026-27</t>
  </si>
  <si>
    <t xml:space="preserve">Marginal 15c/$ above this (2026-27)</t>
  </si>
  <si>
    <t xml:space="preserve">FHSS annual contribution cap</t>
  </si>
  <si>
    <t xml:space="preserve">Max voluntary counted per year</t>
  </si>
  <si>
    <t xml:space="preserve">Max released across all years</t>
  </si>
  <si>
    <t xml:space="preserve">FHSS voluntary contributed so far</t>
  </si>
  <si>
    <t xml:space="preserve">$7k concessional + $1k non-concessional (last FY)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</si>
</sst>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\$#,##0.00;&quot;($&quot;#,##0.00\);\-"/>
    <numFmt numFmtId="167" formatCode="mmm\ yyyy"/>
    <numFmt numFmtId="168" formatCode="#,##0"/>
    <numFmt numFmtId="169" formatCode="\$#,##0.000"/>
    <numFmt numFmtId="170" formatCode="0.0%"/>
    <numFmt numFmtId="171" formatCode="0.0"/>
    <numFmt numFmtId="172" formatCode="0"/>
    <numFmt numFmtId="173" formatCode="\$#,##0.00"/>
    <numFmt numFmtId="174" formatCode="0.00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A44"/>
      <name val="Arial"/>
      <family val="0"/>
      <charset val="1"/>
    </font>
    <font>
      <sz val="10"/>
      <color rgb="FFC6A05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2A44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9"/>
      <color rgb="FF222222"/>
      <name val="Arial"/>
      <family val="0"/>
      <charset val="1"/>
    </font>
    <font>
      <i val="true"/>
      <sz val="9"/>
      <color rgb="FFC6A052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color rgb="FF008000"/>
      <name val="Arial"/>
      <family val="0"/>
      <charset val="1"/>
    </font>
    <font>
      <sz val="9"/>
      <color rgb="FF6B728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1F2A44"/>
      <name val="Arial"/>
      <family val="0"/>
      <charset val="1"/>
    </font>
    <font>
      <i val="true"/>
      <sz val="9"/>
      <color rgb="FF6B7280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1F2A44"/>
      <name val="Arial"/>
      <family val="0"/>
      <charset val="1"/>
    </font>
    <font>
      <sz val="9"/>
      <color rgb="FF333333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6B72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222222"/>
      </patternFill>
    </fill>
    <fill>
      <patternFill patternType="solid">
        <fgColor rgb="FFE8EBF1"/>
        <bgColor rgb="FFF4F1E8"/>
      </patternFill>
    </fill>
    <fill>
      <patternFill patternType="solid">
        <fgColor rgb="FFEFE3C4"/>
        <bgColor rgb="FFF4F1E8"/>
      </patternFill>
    </fill>
    <fill>
      <patternFill patternType="solid">
        <fgColor rgb="FFC6A052"/>
        <bgColor rgb="FFFF9900"/>
      </patternFill>
    </fill>
    <fill>
      <patternFill patternType="solid">
        <fgColor rgb="FFF4F1E8"/>
        <bgColor rgb="FFE8EBF1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1E8"/>
      <rgbColor rgb="FFE8EBF1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3C4"/>
      <rgbColor rgb="FF3366FF"/>
      <rgbColor rgb="FF33CCCC"/>
      <rgbColor rgb="FF99CC00"/>
      <rgbColor rgb="FFFFCC00"/>
      <rgbColor rgb="FFFF9900"/>
      <rgbColor rgb="FFFF6600"/>
      <rgbColor rgb="FF6B7280"/>
      <rgbColor rgb="FFC6A052"/>
      <rgbColor rgb="FF1F2A44"/>
      <rgbColor rgb="FF339966"/>
      <rgbColor rgb="FF003300"/>
      <rgbColor rgb="FF22222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20"/>
    <col collapsed="false" customWidth="true" hidden="false" outlineLevel="0" max="5" min="5" style="0" width="30"/>
    <col collapsed="false" customWidth="true" hidden="false" outlineLevel="0" max="6" min="6" style="0" width="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5" customFormat="false" ht="18" hidden="false" customHeight="true" outlineLevel="0" collapsed="false">
      <c r="B5" s="3" t="s">
        <v>2</v>
      </c>
      <c r="C5" s="3"/>
      <c r="D5" s="3" t="s">
        <v>3</v>
      </c>
      <c r="E5" s="3"/>
    </row>
    <row r="6" customFormat="false" ht="30" hidden="false" customHeight="true" outlineLevel="0" collapsed="false">
      <c r="B6" s="4" t="n">
        <f aca="false">'Income &amp; Tax'!C14</f>
        <v>4215.58333333333</v>
      </c>
      <c r="C6" s="4"/>
      <c r="D6" s="4" t="n">
        <f aca="false">'Income &amp; Tax'!C14-Budget!C15</f>
        <v>2401.74320333333</v>
      </c>
      <c r="E6" s="4"/>
    </row>
    <row r="7" customFormat="false" ht="15" hidden="false" customHeight="false" outlineLevel="0" collapsed="false">
      <c r="B7" s="5" t="s">
        <v>4</v>
      </c>
      <c r="C7" s="5"/>
      <c r="D7" s="5" t="s">
        <v>5</v>
      </c>
      <c r="E7" s="5"/>
    </row>
    <row r="9" customFormat="false" ht="18" hidden="false" customHeight="true" outlineLevel="0" collapsed="false">
      <c r="B9" s="3" t="s">
        <v>6</v>
      </c>
      <c r="C9" s="3"/>
      <c r="D9" s="3" t="s">
        <v>7</v>
      </c>
      <c r="E9" s="3"/>
    </row>
    <row r="10" customFormat="false" ht="30" hidden="false" customHeight="true" outlineLevel="0" collapsed="false">
      <c r="B10" s="4" t="n">
        <f aca="false">Inputs!$B$43</f>
        <v>5000</v>
      </c>
      <c r="C10" s="4"/>
      <c r="D10" s="4" t="n">
        <f aca="false">Inputs!$B$38*Inputs!$B$39+Inputs!$B$41-Inputs!$B$40</f>
        <v>27000</v>
      </c>
      <c r="E10" s="4"/>
    </row>
    <row r="11" customFormat="false" ht="15" hidden="false" customHeight="false" outlineLevel="0" collapsed="false">
      <c r="B11" s="5" t="s">
        <v>8</v>
      </c>
      <c r="C11" s="5"/>
      <c r="D11" s="5" t="s">
        <v>9</v>
      </c>
      <c r="E11" s="5"/>
    </row>
    <row r="13" customFormat="false" ht="18" hidden="false" customHeight="true" outlineLevel="0" collapsed="false">
      <c r="B13" s="3" t="s">
        <v>10</v>
      </c>
      <c r="C13" s="3"/>
      <c r="D13" s="3" t="s">
        <v>11</v>
      </c>
      <c r="E13" s="3"/>
    </row>
    <row r="14" customFormat="false" ht="30" hidden="false" customHeight="true" outlineLevel="0" collapsed="false">
      <c r="B14" s="4" t="n">
        <f aca="false">'Savings Plan'!J44</f>
        <v>94786.6281333333</v>
      </c>
      <c r="C14" s="4"/>
      <c r="D14" s="4" t="n">
        <f aca="false">(0.32-0.15)*Inputs!$B$47</f>
        <v>2550</v>
      </c>
      <c r="E14" s="4"/>
    </row>
    <row r="15" customFormat="false" ht="15" hidden="false" customHeight="false" outlineLevel="0" collapsed="false">
      <c r="B15" s="5" t="s">
        <v>12</v>
      </c>
      <c r="C15" s="5"/>
      <c r="D15" s="5" t="s">
        <v>13</v>
      </c>
      <c r="E15" s="5"/>
    </row>
    <row r="17" customFormat="false" ht="15" hidden="false" customHeight="false" outlineLevel="0" collapsed="false">
      <c r="B17" s="6" t="s">
        <v>14</v>
      </c>
      <c r="C17" s="6"/>
      <c r="D17" s="6"/>
      <c r="E17" s="6"/>
    </row>
    <row r="18" customFormat="false" ht="25.5" hidden="false" customHeight="true" outlineLevel="0" collapsed="false">
      <c r="B18" s="7" t="s">
        <v>15</v>
      </c>
      <c r="C18" s="7"/>
      <c r="D18" s="7"/>
      <c r="E18" s="7"/>
    </row>
    <row r="19" customFormat="false" ht="25.5" hidden="false" customHeight="true" outlineLevel="0" collapsed="false">
      <c r="B19" s="7" t="s">
        <v>16</v>
      </c>
      <c r="C19" s="7"/>
      <c r="D19" s="7"/>
      <c r="E19" s="7"/>
    </row>
    <row r="20" customFormat="false" ht="25.5" hidden="false" customHeight="true" outlineLevel="0" collapsed="false">
      <c r="B20" s="7" t="s">
        <v>17</v>
      </c>
      <c r="C20" s="7"/>
      <c r="D20" s="7"/>
      <c r="E20" s="7"/>
    </row>
    <row r="21" customFormat="false" ht="25.5" hidden="false" customHeight="true" outlineLevel="0" collapsed="false">
      <c r="B21" s="7" t="s">
        <v>18</v>
      </c>
      <c r="C21" s="7"/>
      <c r="D21" s="7"/>
      <c r="E21" s="7"/>
    </row>
    <row r="23" customFormat="false" ht="15" hidden="false" customHeight="false" outlineLevel="0" collapsed="false">
      <c r="B23" s="8" t="s">
        <v>19</v>
      </c>
      <c r="C23" s="8"/>
      <c r="D23" s="8"/>
      <c r="E23" s="8"/>
    </row>
    <row r="24" customFormat="false" ht="15" hidden="false" customHeight="true" outlineLevel="0" collapsed="false">
      <c r="B24" s="9" t="s">
        <v>20</v>
      </c>
      <c r="C24" s="9"/>
      <c r="D24" s="9"/>
      <c r="E24" s="9"/>
    </row>
    <row r="25" customFormat="false" ht="15" hidden="false" customHeight="false" outlineLevel="0" collapsed="false">
      <c r="B25" s="9"/>
      <c r="C25" s="9"/>
      <c r="D25" s="9"/>
      <c r="E25" s="9"/>
    </row>
  </sheetData>
  <mergeCells count="27">
    <mergeCell ref="B2:E2"/>
    <mergeCell ref="B3:E3"/>
    <mergeCell ref="B5:C5"/>
    <mergeCell ref="D5:E5"/>
    <mergeCell ref="B6:C6"/>
    <mergeCell ref="D6:E6"/>
    <mergeCell ref="B7:C7"/>
    <mergeCell ref="D7:E7"/>
    <mergeCell ref="B9:C9"/>
    <mergeCell ref="D9:E9"/>
    <mergeCell ref="B10:C10"/>
    <mergeCell ref="D10:E10"/>
    <mergeCell ref="B11:C11"/>
    <mergeCell ref="D11:E11"/>
    <mergeCell ref="B13:C13"/>
    <mergeCell ref="D13:E13"/>
    <mergeCell ref="B14:C14"/>
    <mergeCell ref="D14:E14"/>
    <mergeCell ref="B15:C15"/>
    <mergeCell ref="D15:E15"/>
    <mergeCell ref="B17:E17"/>
    <mergeCell ref="B18:E18"/>
    <mergeCell ref="B19:E19"/>
    <mergeCell ref="B20:E20"/>
    <mergeCell ref="B21:E21"/>
    <mergeCell ref="B23:E23"/>
    <mergeCell ref="B24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40"/>
  </cols>
  <sheetData>
    <row r="1" customFormat="false" ht="24" hidden="false" customHeight="true" outlineLevel="0" collapsed="false">
      <c r="A1" s="10" t="s">
        <v>21</v>
      </c>
      <c r="B1" s="10"/>
      <c r="C1" s="10"/>
      <c r="D1" s="10"/>
    </row>
    <row r="3" customFormat="false" ht="15" hidden="false" customHeight="false" outlineLevel="0" collapsed="false">
      <c r="A3" s="11" t="s">
        <v>22</v>
      </c>
      <c r="B3" s="12" t="s">
        <v>23</v>
      </c>
      <c r="C3" s="12" t="s">
        <v>24</v>
      </c>
      <c r="D3" s="13" t="s">
        <v>25</v>
      </c>
    </row>
    <row r="4" customFormat="false" ht="15" hidden="false" customHeight="false" outlineLevel="0" collapsed="false">
      <c r="A4" s="14" t="s">
        <v>26</v>
      </c>
      <c r="B4" s="15" t="n">
        <f aca="false">Inputs!$B$4*Inputs!$B$6</f>
        <v>54400</v>
      </c>
      <c r="C4" s="15" t="n">
        <f aca="false">Inputs!$B$4</f>
        <v>68000</v>
      </c>
    </row>
    <row r="5" customFormat="false" ht="15" hidden="false" customHeight="false" outlineLevel="0" collapsed="false">
      <c r="A5" s="14" t="s">
        <v>27</v>
      </c>
      <c r="B5" s="15" t="n">
        <f aca="false">B4/(1+Inputs!$B$5)</f>
        <v>48571.4285714286</v>
      </c>
      <c r="C5" s="15" t="n">
        <f aca="false">C4/(1+Inputs!$B$5)</f>
        <v>60714.2857142857</v>
      </c>
      <c r="D5" s="16" t="s">
        <v>28</v>
      </c>
    </row>
    <row r="6" customFormat="false" ht="15" hidden="false" customHeight="false" outlineLevel="0" collapsed="false">
      <c r="A6" s="14" t="s">
        <v>29</v>
      </c>
      <c r="B6" s="15" t="n">
        <f aca="false">B4-B5</f>
        <v>5828.57142857144</v>
      </c>
      <c r="C6" s="15" t="n">
        <f aca="false">C4-C5</f>
        <v>7285.71428571429</v>
      </c>
      <c r="D6" s="16" t="s">
        <v>30</v>
      </c>
    </row>
    <row r="7" customFormat="false" ht="15" hidden="false" customHeight="false" outlineLevel="0" collapsed="false">
      <c r="A7" s="14"/>
      <c r="B7" s="17"/>
      <c r="C7" s="17"/>
    </row>
    <row r="8" customFormat="false" ht="15" hidden="false" customHeight="false" outlineLevel="0" collapsed="false">
      <c r="A8" s="14" t="s">
        <v>31</v>
      </c>
      <c r="B8" s="17" t="n">
        <f aca="false">0.16*MAX(0,MIN(B5,45000)-18200)+0.3*MAX(0,MIN(B5,135000)-45000)+0.37*MAX(0,MIN(B5,190000)-135000)+0.45*MAX(0,B5-190000)</f>
        <v>5359.42857142857</v>
      </c>
      <c r="C8" s="17" t="n">
        <f aca="false">0.16*MAX(0,MIN(C5,45000)-18200)+0.3*MAX(0,MIN(C5,135000)-45000)+0.37*MAX(0,MIN(C5,190000)-135000)+0.45*MAX(0,C5-190000)</f>
        <v>9002.28571428571</v>
      </c>
      <c r="D8" s="16" t="s">
        <v>32</v>
      </c>
    </row>
    <row r="9" customFormat="false" ht="15" hidden="false" customHeight="false" outlineLevel="0" collapsed="false">
      <c r="A9" s="14" t="s">
        <v>33</v>
      </c>
      <c r="B9" s="17" t="n">
        <f aca="false">-1*IF(B5&lt;=37500,700,IF(B5&lt;=45000,700-(B5-37500)*0.05,IF(B5&lt;66667,325-(B5-45000)*0.015,0)))</f>
        <v>-271.428571428572</v>
      </c>
      <c r="C9" s="17" t="n">
        <f aca="false">-1*IF(C5&lt;=37500,700,IF(C5&lt;=45000,700-(C5-37500)*0.05,IF(C5&lt;66667,325-(C5-45000)*0.015,0)))</f>
        <v>-89.2857142857144</v>
      </c>
      <c r="D9" s="16" t="s">
        <v>34</v>
      </c>
    </row>
    <row r="10" customFormat="false" ht="15" hidden="false" customHeight="false" outlineLevel="0" collapsed="false">
      <c r="A10" s="14" t="s">
        <v>35</v>
      </c>
      <c r="B10" s="17" t="n">
        <f aca="false">0.02*B5</f>
        <v>971.428571428571</v>
      </c>
      <c r="C10" s="17" t="n">
        <f aca="false">0.02*C5</f>
        <v>1214.28571428571</v>
      </c>
      <c r="D10" s="16" t="s">
        <v>36</v>
      </c>
    </row>
    <row r="11" customFormat="false" ht="15" hidden="false" customHeight="false" outlineLevel="0" collapsed="false">
      <c r="A11" s="14" t="s">
        <v>37</v>
      </c>
      <c r="B11" s="17" t="n">
        <f aca="false">0.15*MAX(0,B5-Inputs!$B$46)</f>
        <v>0</v>
      </c>
      <c r="C11" s="17" t="n">
        <f aca="false">0.15*MAX(0,C5-Inputs!$B$46)</f>
        <v>0</v>
      </c>
      <c r="D11" s="16" t="s">
        <v>38</v>
      </c>
    </row>
    <row r="12" customFormat="false" ht="15" hidden="false" customHeight="false" outlineLevel="0" collapsed="false">
      <c r="A12" s="18" t="s">
        <v>39</v>
      </c>
      <c r="B12" s="19" t="n">
        <f aca="false">MAX(0,B8+B9)+B10+B11</f>
        <v>6059.42857142857</v>
      </c>
      <c r="C12" s="19" t="n">
        <f aca="false">MAX(0,C8+C9)+C10+C11</f>
        <v>10127.2857142857</v>
      </c>
    </row>
    <row r="13" customFormat="false" ht="15" hidden="false" customHeight="false" outlineLevel="0" collapsed="false">
      <c r="A13" s="20" t="s">
        <v>40</v>
      </c>
      <c r="B13" s="21" t="n">
        <f aca="false">B5-B12</f>
        <v>42512</v>
      </c>
      <c r="C13" s="21" t="n">
        <f aca="false">C5-C12</f>
        <v>50587</v>
      </c>
    </row>
    <row r="14" customFormat="false" ht="15" hidden="false" customHeight="false" outlineLevel="0" collapsed="false">
      <c r="A14" s="22" t="s">
        <v>41</v>
      </c>
      <c r="B14" s="17" t="n">
        <f aca="false">B13/12</f>
        <v>3542.66666666667</v>
      </c>
      <c r="C14" s="17" t="n">
        <f aca="false">C13/12</f>
        <v>4215.58333333333</v>
      </c>
    </row>
    <row r="15" customFormat="false" ht="15" hidden="false" customHeight="false" outlineLevel="0" collapsed="false">
      <c r="A15" s="14" t="s">
        <v>42</v>
      </c>
      <c r="B15" s="17" t="n">
        <f aca="false">B13/26</f>
        <v>1635.07692307692</v>
      </c>
      <c r="C15" s="17" t="n">
        <f aca="false">C13/26</f>
        <v>1945.65384615385</v>
      </c>
    </row>
    <row r="17" customFormat="false" ht="15" hidden="false" customHeight="false" outlineLevel="0" collapsed="false">
      <c r="A17" s="23" t="s">
        <v>43</v>
      </c>
      <c r="B17" s="23"/>
      <c r="C17" s="23"/>
      <c r="D17" s="23"/>
    </row>
    <row r="18" customFormat="false" ht="15" hidden="false" customHeight="false" outlineLevel="0" collapsed="false">
      <c r="A18" s="24" t="s">
        <v>44</v>
      </c>
      <c r="B18" s="24"/>
      <c r="C18" s="24"/>
      <c r="D18" s="24"/>
    </row>
  </sheetData>
  <mergeCells count="3">
    <mergeCell ref="A1:D1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34"/>
  </cols>
  <sheetData>
    <row r="1" customFormat="false" ht="24" hidden="false" customHeight="true" outlineLevel="0" collapsed="false">
      <c r="A1" s="10" t="s">
        <v>45</v>
      </c>
      <c r="B1" s="10"/>
      <c r="C1" s="10"/>
      <c r="D1" s="10"/>
    </row>
    <row r="3" customFormat="false" ht="15" hidden="false" customHeight="false" outlineLevel="0" collapsed="false">
      <c r="A3" s="13" t="s">
        <v>46</v>
      </c>
      <c r="B3" s="12" t="s">
        <v>47</v>
      </c>
      <c r="C3" s="12" t="s">
        <v>48</v>
      </c>
      <c r="D3" s="13" t="s">
        <v>49</v>
      </c>
    </row>
    <row r="4" customFormat="false" ht="15" hidden="false" customHeight="false" outlineLevel="0" collapsed="false">
      <c r="A4" s="14" t="s">
        <v>50</v>
      </c>
      <c r="B4" s="25" t="s">
        <v>51</v>
      </c>
      <c r="C4" s="25" t="n">
        <f aca="false">Inputs!$B$33*52/12</f>
        <v>433.333333333333</v>
      </c>
      <c r="D4" s="16" t="s">
        <v>52</v>
      </c>
    </row>
    <row r="5" customFormat="false" ht="15" hidden="false" customHeight="false" outlineLevel="0" collapsed="false">
      <c r="A5" s="14" t="s">
        <v>53</v>
      </c>
      <c r="B5" s="25" t="n">
        <f aca="false">Inputs!$B$32*52/12</f>
        <v>476.666666666667</v>
      </c>
      <c r="C5" s="25" t="n">
        <f aca="false">Inputs!$B$32*52/12</f>
        <v>476.666666666667</v>
      </c>
      <c r="D5" s="16" t="s">
        <v>54</v>
      </c>
    </row>
    <row r="6" customFormat="false" ht="15" hidden="false" customHeight="false" outlineLevel="0" collapsed="false">
      <c r="A6" s="14" t="s">
        <v>55</v>
      </c>
      <c r="B6" s="25" t="n">
        <f aca="false">Inputs!$B$21*52/12</f>
        <v>238.333333333333</v>
      </c>
      <c r="C6" s="25" t="n">
        <f aca="false">Inputs!$B$21*52/12</f>
        <v>238.333333333333</v>
      </c>
      <c r="D6" s="16" t="s">
        <v>56</v>
      </c>
    </row>
    <row r="7" customFormat="false" ht="15" hidden="false" customHeight="false" outlineLevel="0" collapsed="false">
      <c r="A7" s="14" t="s">
        <v>57</v>
      </c>
      <c r="B7" s="25" t="n">
        <f aca="false">Inputs!$B$22/12</f>
        <v>58.345</v>
      </c>
      <c r="C7" s="25" t="n">
        <f aca="false">Inputs!$B$22/12</f>
        <v>58.345</v>
      </c>
      <c r="D7" s="16" t="s">
        <v>58</v>
      </c>
    </row>
    <row r="8" customFormat="false" ht="15" hidden="false" customHeight="false" outlineLevel="0" collapsed="false">
      <c r="A8" s="14" t="s">
        <v>59</v>
      </c>
      <c r="B8" s="25" t="n">
        <f aca="false">Inputs!$B$23/12</f>
        <v>68.7166666666667</v>
      </c>
      <c r="C8" s="25" t="n">
        <f aca="false">Inputs!$B$23/12</f>
        <v>68.7166666666667</v>
      </c>
      <c r="D8" s="16" t="s">
        <v>58</v>
      </c>
    </row>
    <row r="9" customFormat="false" ht="15" hidden="false" customHeight="false" outlineLevel="0" collapsed="false">
      <c r="A9" s="14" t="s">
        <v>60</v>
      </c>
      <c r="B9" s="25" t="n">
        <f aca="false">Inputs!$B$24*26/12</f>
        <v>82.1166666666667</v>
      </c>
      <c r="C9" s="25" t="n">
        <f aca="false">Inputs!$B$24*26/12</f>
        <v>82.1166666666667</v>
      </c>
      <c r="D9" s="16" t="s">
        <v>61</v>
      </c>
    </row>
    <row r="10" customFormat="false" ht="15" hidden="false" customHeight="false" outlineLevel="0" collapsed="false">
      <c r="A10" s="14" t="s">
        <v>62</v>
      </c>
      <c r="B10" s="25" t="n">
        <f aca="false">(Inputs!$B$25*Inputs!$B$26+Inputs!$B$27*Inputs!$B$28)/12</f>
        <v>58.5366666666667</v>
      </c>
      <c r="C10" s="25" t="n">
        <f aca="false">(Inputs!$B$25*Inputs!$B$26+Inputs!$B$27*Inputs!$B$28)/12</f>
        <v>58.5366666666667</v>
      </c>
      <c r="D10" s="16" t="s">
        <v>63</v>
      </c>
    </row>
    <row r="11" customFormat="false" ht="15" hidden="false" customHeight="false" outlineLevel="0" collapsed="false">
      <c r="A11" s="14" t="s">
        <v>64</v>
      </c>
      <c r="B11" s="25" t="s">
        <v>51</v>
      </c>
      <c r="C11" s="25" t="n">
        <f aca="false">Inputs!$B$34</f>
        <v>130</v>
      </c>
      <c r="D11" s="16" t="s">
        <v>65</v>
      </c>
    </row>
    <row r="12" customFormat="false" ht="15" hidden="false" customHeight="false" outlineLevel="0" collapsed="false">
      <c r="A12" s="14" t="s">
        <v>66</v>
      </c>
      <c r="B12" s="25" t="n">
        <f aca="false">Inputs!$B$29</f>
        <v>34</v>
      </c>
      <c r="C12" s="25" t="n">
        <f aca="false">Inputs!$B$29</f>
        <v>34</v>
      </c>
      <c r="D12" s="16" t="s">
        <v>67</v>
      </c>
    </row>
    <row r="13" customFormat="false" ht="15" hidden="false" customHeight="false" outlineLevel="0" collapsed="false">
      <c r="A13" s="14" t="s">
        <v>68</v>
      </c>
      <c r="B13" s="25" t="n">
        <f aca="false">Inputs!$B$30*Inputs!$B$31/3</f>
        <v>17.12513</v>
      </c>
      <c r="C13" s="25" t="n">
        <f aca="false">Inputs!$B$30*Inputs!$B$31/3</f>
        <v>17.12513</v>
      </c>
      <c r="D13" s="16" t="s">
        <v>69</v>
      </c>
    </row>
    <row r="14" customFormat="false" ht="15" hidden="false" customHeight="false" outlineLevel="0" collapsed="false">
      <c r="A14" s="14" t="s">
        <v>70</v>
      </c>
      <c r="B14" s="25" t="n">
        <f aca="false">Inputs!$B$35*52/12</f>
        <v>216.666666666667</v>
      </c>
      <c r="C14" s="25" t="n">
        <f aca="false">Inputs!$B$35*52/12</f>
        <v>216.666666666667</v>
      </c>
      <c r="D14" s="16" t="s">
        <v>71</v>
      </c>
    </row>
    <row r="15" customFormat="false" ht="15" hidden="false" customHeight="false" outlineLevel="0" collapsed="false">
      <c r="A15" s="20" t="s">
        <v>72</v>
      </c>
      <c r="B15" s="26" t="n">
        <f aca="false">SUM(B4:B14)</f>
        <v>1250.50679666667</v>
      </c>
      <c r="C15" s="26" t="n">
        <f aca="false">SUM(C4:C14)</f>
        <v>1813.84013</v>
      </c>
    </row>
    <row r="17" customFormat="false" ht="15" hidden="false" customHeight="false" outlineLevel="0" collapsed="false">
      <c r="A17" s="14" t="s">
        <v>73</v>
      </c>
      <c r="B17" s="25" t="n">
        <f aca="false">'Income &amp; Tax'!C14</f>
        <v>4215.58333333333</v>
      </c>
      <c r="C17" s="25" t="n">
        <f aca="false">'Income &amp; Tax'!C14</f>
        <v>4215.58333333333</v>
      </c>
    </row>
    <row r="18" customFormat="false" ht="15" hidden="false" customHeight="false" outlineLevel="0" collapsed="false">
      <c r="A18" s="14" t="s">
        <v>74</v>
      </c>
      <c r="B18" s="27" t="n">
        <f aca="false">-B15</f>
        <v>-1250.50679666667</v>
      </c>
      <c r="C18" s="27" t="n">
        <f aca="false">-C15</f>
        <v>-1813.84013</v>
      </c>
    </row>
    <row r="19" customFormat="false" ht="15" hidden="false" customHeight="false" outlineLevel="0" collapsed="false">
      <c r="A19" s="28" t="s">
        <v>75</v>
      </c>
      <c r="B19" s="29" t="n">
        <f aca="false">B17+B18</f>
        <v>2965.07653666667</v>
      </c>
      <c r="C19" s="29" t="n">
        <f aca="false">C17+C18</f>
        <v>2401.74320333333</v>
      </c>
    </row>
    <row r="21" customFormat="false" ht="15" hidden="false" customHeight="false" outlineLevel="0" collapsed="false">
      <c r="A21" s="23" t="s">
        <v>76</v>
      </c>
      <c r="B21" s="23"/>
      <c r="C21" s="23"/>
      <c r="D21" s="23"/>
    </row>
  </sheetData>
  <mergeCells count="2">
    <mergeCell ref="A1:D1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7" min="4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</cols>
  <sheetData>
    <row r="1" customFormat="false" ht="24" hidden="false" customHeight="true" outlineLevel="0" collapsed="false">
      <c r="A1" s="10" t="s">
        <v>77</v>
      </c>
      <c r="B1" s="10"/>
      <c r="C1" s="10"/>
      <c r="D1" s="10"/>
      <c r="E1" s="10"/>
      <c r="F1" s="10"/>
      <c r="G1" s="10"/>
      <c r="H1" s="10"/>
      <c r="I1" s="10"/>
      <c r="J1" s="10"/>
    </row>
    <row r="3" customFormat="false" ht="27.75" hidden="false" customHeight="true" outlineLevel="0" collapsed="false">
      <c r="A3" s="30" t="s">
        <v>78</v>
      </c>
      <c r="B3" s="30" t="s">
        <v>79</v>
      </c>
      <c r="C3" s="30" t="s">
        <v>80</v>
      </c>
      <c r="D3" s="30" t="s">
        <v>81</v>
      </c>
      <c r="E3" s="30" t="s">
        <v>82</v>
      </c>
      <c r="F3" s="30" t="s">
        <v>83</v>
      </c>
      <c r="G3" s="30" t="s">
        <v>84</v>
      </c>
      <c r="H3" s="30" t="s">
        <v>85</v>
      </c>
      <c r="I3" s="30" t="s">
        <v>86</v>
      </c>
      <c r="J3" s="30" t="s">
        <v>87</v>
      </c>
    </row>
    <row r="4" customFormat="false" ht="15" hidden="false" customHeight="false" outlineLevel="0" collapsed="false">
      <c r="A4" s="31" t="s">
        <v>88</v>
      </c>
      <c r="H4" s="32" t="n">
        <v>0</v>
      </c>
      <c r="I4" s="33" t="s">
        <v>89</v>
      </c>
      <c r="J4" s="32" t="n">
        <f aca="false">Inputs!$B$10</f>
        <v>3000</v>
      </c>
    </row>
    <row r="5" customFormat="false" ht="15" hidden="false" customHeight="false" outlineLevel="0" collapsed="false">
      <c r="A5" s="34" t="n">
        <v>46266</v>
      </c>
      <c r="B5" s="16" t="s">
        <v>90</v>
      </c>
      <c r="C5" s="35" t="n">
        <f aca="false">'Income &amp; Tax'!$B$14</f>
        <v>3542.66666666667</v>
      </c>
      <c r="D5" s="35" t="n">
        <f aca="false">Budget!$B$15</f>
        <v>1250.50679666667</v>
      </c>
      <c r="E5" s="35" t="n">
        <f aca="false">C5-D5</f>
        <v>2292.15987</v>
      </c>
      <c r="F5" s="35" t="n">
        <f aca="false">E5-Inputs!$B$12</f>
        <v>2101.55987</v>
      </c>
      <c r="G5" s="35" t="n">
        <f aca="false">MAX(0,MIN(F5,Inputs!$B$43-H4))</f>
        <v>2101.55987</v>
      </c>
      <c r="H5" s="35" t="n">
        <f aca="false">H4+G5</f>
        <v>2101.55987</v>
      </c>
      <c r="I5" s="35" t="n">
        <f aca="false">F5-G5</f>
        <v>0</v>
      </c>
      <c r="J5" s="35" t="n">
        <f aca="false">J4+I5</f>
        <v>3000</v>
      </c>
    </row>
    <row r="6" customFormat="false" ht="15" hidden="false" customHeight="false" outlineLevel="0" collapsed="false">
      <c r="A6" s="34" t="n">
        <v>46296</v>
      </c>
      <c r="B6" s="16" t="s">
        <v>90</v>
      </c>
      <c r="C6" s="35" t="n">
        <f aca="false">'Income &amp; Tax'!$B$14</f>
        <v>3542.66666666667</v>
      </c>
      <c r="D6" s="35" t="n">
        <f aca="false">Budget!$B$15</f>
        <v>1250.50679666667</v>
      </c>
      <c r="E6" s="35" t="n">
        <f aca="false">C6-D6</f>
        <v>2292.15987</v>
      </c>
      <c r="F6" s="35" t="n">
        <f aca="false">E6</f>
        <v>2292.15987</v>
      </c>
      <c r="G6" s="35" t="n">
        <f aca="false">MAX(0,MIN(F6,Inputs!$B$43-H5))</f>
        <v>2292.15987</v>
      </c>
      <c r="H6" s="35" t="n">
        <f aca="false">H5+G6</f>
        <v>4393.71974</v>
      </c>
      <c r="I6" s="35" t="n">
        <f aca="false">F6-G6</f>
        <v>0</v>
      </c>
      <c r="J6" s="35" t="n">
        <f aca="false">J5+I6</f>
        <v>3000</v>
      </c>
    </row>
    <row r="7" customFormat="false" ht="15" hidden="false" customHeight="false" outlineLevel="0" collapsed="false">
      <c r="A7" s="34" t="n">
        <v>46327</v>
      </c>
      <c r="B7" s="16" t="s">
        <v>91</v>
      </c>
      <c r="C7" s="35" t="n">
        <f aca="false">'Income &amp; Tax'!$C$14</f>
        <v>4215.58333333333</v>
      </c>
      <c r="D7" s="35" t="n">
        <f aca="false">Budget!$B$15</f>
        <v>1250.50679666667</v>
      </c>
      <c r="E7" s="35" t="n">
        <f aca="false">C7-D7</f>
        <v>2965.07653666667</v>
      </c>
      <c r="F7" s="35" t="n">
        <f aca="false">E7</f>
        <v>2965.07653666667</v>
      </c>
      <c r="G7" s="35" t="n">
        <f aca="false">MAX(0,MIN(F7,Inputs!$B$43-H6))</f>
        <v>606.280260000001</v>
      </c>
      <c r="H7" s="35" t="n">
        <f aca="false">H6+G7</f>
        <v>5000</v>
      </c>
      <c r="I7" s="35" t="n">
        <f aca="false">F7-G7</f>
        <v>2358.79627666667</v>
      </c>
      <c r="J7" s="35" t="n">
        <f aca="false">J6+I7</f>
        <v>5358.79627666667</v>
      </c>
    </row>
    <row r="8" customFormat="false" ht="15" hidden="false" customHeight="false" outlineLevel="0" collapsed="false">
      <c r="A8" s="34" t="n">
        <v>46357</v>
      </c>
      <c r="B8" s="16" t="s">
        <v>91</v>
      </c>
      <c r="C8" s="35" t="n">
        <f aca="false">'Income &amp; Tax'!$C$14</f>
        <v>4215.58333333333</v>
      </c>
      <c r="D8" s="35" t="n">
        <f aca="false">Budget!$B$15</f>
        <v>1250.50679666667</v>
      </c>
      <c r="E8" s="35" t="n">
        <f aca="false">C8-D8</f>
        <v>2965.07653666667</v>
      </c>
      <c r="F8" s="35" t="n">
        <f aca="false">E8</f>
        <v>2965.07653666667</v>
      </c>
      <c r="G8" s="35" t="n">
        <f aca="false">MAX(0,MIN(F8,Inputs!$B$43-H7))</f>
        <v>0</v>
      </c>
      <c r="H8" s="35" t="n">
        <f aca="false">H7+G8</f>
        <v>5000</v>
      </c>
      <c r="I8" s="35" t="n">
        <f aca="false">F8-G8</f>
        <v>2965.07653666667</v>
      </c>
      <c r="J8" s="35" t="n">
        <f aca="false">J7+I8</f>
        <v>8323.87281333333</v>
      </c>
    </row>
    <row r="9" customFormat="false" ht="15" hidden="false" customHeight="false" outlineLevel="0" collapsed="false">
      <c r="A9" s="36" t="n">
        <v>46388</v>
      </c>
      <c r="B9" s="37" t="s">
        <v>91</v>
      </c>
      <c r="C9" s="38" t="n">
        <f aca="false">'Income &amp; Tax'!$C$14</f>
        <v>4215.58333333333</v>
      </c>
      <c r="D9" s="38" t="n">
        <f aca="false">Budget!$C$15</f>
        <v>1813.84013</v>
      </c>
      <c r="E9" s="38" t="n">
        <f aca="false">C9-D9</f>
        <v>2401.74320333333</v>
      </c>
      <c r="F9" s="38" t="n">
        <f aca="false">E9</f>
        <v>2401.74320333333</v>
      </c>
      <c r="G9" s="38" t="n">
        <f aca="false">MAX(0,MIN(F9,Inputs!$B$43-H8))</f>
        <v>0</v>
      </c>
      <c r="H9" s="38" t="n">
        <f aca="false">H8+G9</f>
        <v>5000</v>
      </c>
      <c r="I9" s="38" t="n">
        <f aca="false">F9-G9</f>
        <v>2401.74320333333</v>
      </c>
      <c r="J9" s="38" t="n">
        <f aca="false">J8+I9</f>
        <v>10725.6160166667</v>
      </c>
    </row>
    <row r="10" customFormat="false" ht="15" hidden="false" customHeight="false" outlineLevel="0" collapsed="false">
      <c r="A10" s="34" t="n">
        <v>46419</v>
      </c>
      <c r="B10" s="16" t="s">
        <v>91</v>
      </c>
      <c r="C10" s="35" t="n">
        <f aca="false">'Income &amp; Tax'!$C$14</f>
        <v>4215.58333333333</v>
      </c>
      <c r="D10" s="35" t="n">
        <f aca="false">Budget!$C$15</f>
        <v>1813.84013</v>
      </c>
      <c r="E10" s="35" t="n">
        <f aca="false">C10-D10</f>
        <v>2401.74320333333</v>
      </c>
      <c r="F10" s="35" t="n">
        <f aca="false">E10</f>
        <v>2401.74320333333</v>
      </c>
      <c r="G10" s="35" t="n">
        <f aca="false">MAX(0,MIN(F10,Inputs!$B$43-H9))</f>
        <v>0</v>
      </c>
      <c r="H10" s="35" t="n">
        <f aca="false">H9+G10</f>
        <v>5000</v>
      </c>
      <c r="I10" s="35" t="n">
        <f aca="false">F10-G10</f>
        <v>2401.74320333333</v>
      </c>
      <c r="J10" s="35" t="n">
        <f aca="false">J9+I10</f>
        <v>13127.35922</v>
      </c>
    </row>
    <row r="11" customFormat="false" ht="15" hidden="false" customHeight="false" outlineLevel="0" collapsed="false">
      <c r="A11" s="34" t="n">
        <v>46447</v>
      </c>
      <c r="B11" s="16" t="s">
        <v>91</v>
      </c>
      <c r="C11" s="35" t="n">
        <f aca="false">'Income &amp; Tax'!$C$14</f>
        <v>4215.58333333333</v>
      </c>
      <c r="D11" s="35" t="n">
        <f aca="false">Budget!$C$15</f>
        <v>1813.84013</v>
      </c>
      <c r="E11" s="35" t="n">
        <f aca="false">C11-D11</f>
        <v>2401.74320333333</v>
      </c>
      <c r="F11" s="35" t="n">
        <f aca="false">E11</f>
        <v>2401.74320333333</v>
      </c>
      <c r="G11" s="35" t="n">
        <f aca="false">MAX(0,MIN(F11,Inputs!$B$43-H10))</f>
        <v>0</v>
      </c>
      <c r="H11" s="35" t="n">
        <f aca="false">H10+G11</f>
        <v>5000</v>
      </c>
      <c r="I11" s="35" t="n">
        <f aca="false">F11-G11</f>
        <v>2401.74320333333</v>
      </c>
      <c r="J11" s="35" t="n">
        <f aca="false">J10+I11</f>
        <v>15529.1024233333</v>
      </c>
    </row>
    <row r="12" customFormat="false" ht="15" hidden="false" customHeight="false" outlineLevel="0" collapsed="false">
      <c r="A12" s="34" t="n">
        <v>46478</v>
      </c>
      <c r="B12" s="16" t="s">
        <v>91</v>
      </c>
      <c r="C12" s="35" t="n">
        <f aca="false">'Income &amp; Tax'!$C$14</f>
        <v>4215.58333333333</v>
      </c>
      <c r="D12" s="35" t="n">
        <f aca="false">Budget!$C$15</f>
        <v>1813.84013</v>
      </c>
      <c r="E12" s="35" t="n">
        <f aca="false">C12-D12</f>
        <v>2401.74320333333</v>
      </c>
      <c r="F12" s="35" t="n">
        <f aca="false">E12</f>
        <v>2401.74320333333</v>
      </c>
      <c r="G12" s="35" t="n">
        <f aca="false">MAX(0,MIN(F12,Inputs!$B$43-H11))</f>
        <v>0</v>
      </c>
      <c r="H12" s="35" t="n">
        <f aca="false">H11+G12</f>
        <v>5000</v>
      </c>
      <c r="I12" s="35" t="n">
        <f aca="false">F12-G12</f>
        <v>2401.74320333333</v>
      </c>
      <c r="J12" s="35" t="n">
        <f aca="false">J11+I12</f>
        <v>17930.8456266667</v>
      </c>
    </row>
    <row r="13" customFormat="false" ht="15" hidden="false" customHeight="false" outlineLevel="0" collapsed="false">
      <c r="A13" s="34" t="n">
        <v>46508</v>
      </c>
      <c r="B13" s="16" t="s">
        <v>91</v>
      </c>
      <c r="C13" s="35" t="n">
        <f aca="false">'Income &amp; Tax'!$C$14</f>
        <v>4215.58333333333</v>
      </c>
      <c r="D13" s="35" t="n">
        <f aca="false">Budget!$C$15</f>
        <v>1813.84013</v>
      </c>
      <c r="E13" s="35" t="n">
        <f aca="false">C13-D13</f>
        <v>2401.74320333333</v>
      </c>
      <c r="F13" s="35" t="n">
        <f aca="false">E13</f>
        <v>2401.74320333333</v>
      </c>
      <c r="G13" s="35" t="n">
        <f aca="false">MAX(0,MIN(F13,Inputs!$B$43-H12))</f>
        <v>0</v>
      </c>
      <c r="H13" s="35" t="n">
        <f aca="false">H12+G13</f>
        <v>5000</v>
      </c>
      <c r="I13" s="35" t="n">
        <f aca="false">F13-G13</f>
        <v>2401.74320333333</v>
      </c>
      <c r="J13" s="35" t="n">
        <f aca="false">J12+I13</f>
        <v>20332.58883</v>
      </c>
    </row>
    <row r="14" customFormat="false" ht="15" hidden="false" customHeight="false" outlineLevel="0" collapsed="false">
      <c r="A14" s="34" t="n">
        <v>46539</v>
      </c>
      <c r="B14" s="16" t="s">
        <v>91</v>
      </c>
      <c r="C14" s="35" t="n">
        <f aca="false">'Income &amp; Tax'!$C$14</f>
        <v>4215.58333333333</v>
      </c>
      <c r="D14" s="35" t="n">
        <f aca="false">Budget!$C$15</f>
        <v>1813.84013</v>
      </c>
      <c r="E14" s="35" t="n">
        <f aca="false">C14-D14</f>
        <v>2401.74320333333</v>
      </c>
      <c r="F14" s="35" t="n">
        <f aca="false">E14</f>
        <v>2401.74320333333</v>
      </c>
      <c r="G14" s="35" t="n">
        <f aca="false">MAX(0,MIN(F14,Inputs!$B$43-H13))</f>
        <v>0</v>
      </c>
      <c r="H14" s="35" t="n">
        <f aca="false">H13+G14</f>
        <v>5000</v>
      </c>
      <c r="I14" s="35" t="n">
        <f aca="false">F14-G14</f>
        <v>2401.74320333333</v>
      </c>
      <c r="J14" s="35" t="n">
        <f aca="false">J13+I14</f>
        <v>22734.3320333333</v>
      </c>
    </row>
    <row r="15" customFormat="false" ht="15" hidden="false" customHeight="false" outlineLevel="0" collapsed="false">
      <c r="A15" s="34" t="n">
        <v>46569</v>
      </c>
      <c r="B15" s="16" t="s">
        <v>91</v>
      </c>
      <c r="C15" s="35" t="n">
        <f aca="false">'Income &amp; Tax'!$C$14</f>
        <v>4215.58333333333</v>
      </c>
      <c r="D15" s="35" t="n">
        <f aca="false">Budget!$C$15</f>
        <v>1813.84013</v>
      </c>
      <c r="E15" s="35" t="n">
        <f aca="false">C15-D15</f>
        <v>2401.74320333333</v>
      </c>
      <c r="F15" s="35" t="n">
        <f aca="false">E15</f>
        <v>2401.74320333333</v>
      </c>
      <c r="G15" s="35" t="n">
        <f aca="false">MAX(0,MIN(F15,Inputs!$B$43-H14))</f>
        <v>0</v>
      </c>
      <c r="H15" s="35" t="n">
        <f aca="false">H14+G15</f>
        <v>5000</v>
      </c>
      <c r="I15" s="35" t="n">
        <f aca="false">F15-G15</f>
        <v>2401.74320333333</v>
      </c>
      <c r="J15" s="35" t="n">
        <f aca="false">J14+I15</f>
        <v>25136.0752366667</v>
      </c>
    </row>
    <row r="16" customFormat="false" ht="15" hidden="false" customHeight="false" outlineLevel="0" collapsed="false">
      <c r="A16" s="34" t="n">
        <v>46600</v>
      </c>
      <c r="B16" s="16" t="s">
        <v>91</v>
      </c>
      <c r="C16" s="35" t="n">
        <f aca="false">'Income &amp; Tax'!$C$14</f>
        <v>4215.58333333333</v>
      </c>
      <c r="D16" s="35" t="n">
        <f aca="false">Budget!$C$15</f>
        <v>1813.84013</v>
      </c>
      <c r="E16" s="35" t="n">
        <f aca="false">C16-D16</f>
        <v>2401.74320333333</v>
      </c>
      <c r="F16" s="35" t="n">
        <f aca="false">E16</f>
        <v>2401.74320333333</v>
      </c>
      <c r="G16" s="35" t="n">
        <f aca="false">MAX(0,MIN(F16,Inputs!$B$43-H15))</f>
        <v>0</v>
      </c>
      <c r="H16" s="35" t="n">
        <f aca="false">H15+G16</f>
        <v>5000</v>
      </c>
      <c r="I16" s="35" t="n">
        <f aca="false">F16-G16</f>
        <v>2401.74320333333</v>
      </c>
      <c r="J16" s="35" t="n">
        <f aca="false">J15+I16</f>
        <v>27537.81844</v>
      </c>
    </row>
    <row r="17" customFormat="false" ht="15" hidden="false" customHeight="false" outlineLevel="0" collapsed="false">
      <c r="A17" s="34" t="n">
        <v>46631</v>
      </c>
      <c r="B17" s="16" t="s">
        <v>91</v>
      </c>
      <c r="C17" s="35" t="n">
        <f aca="false">'Income &amp; Tax'!$C$14</f>
        <v>4215.58333333333</v>
      </c>
      <c r="D17" s="35" t="n">
        <f aca="false">Budget!$C$15</f>
        <v>1813.84013</v>
      </c>
      <c r="E17" s="35" t="n">
        <f aca="false">C17-D17</f>
        <v>2401.74320333333</v>
      </c>
      <c r="F17" s="35" t="n">
        <f aca="false">E17</f>
        <v>2401.74320333333</v>
      </c>
      <c r="G17" s="35" t="n">
        <f aca="false">MAX(0,MIN(F17,Inputs!$B$43-H16))</f>
        <v>0</v>
      </c>
      <c r="H17" s="35" t="n">
        <f aca="false">H16+G17</f>
        <v>5000</v>
      </c>
      <c r="I17" s="35" t="n">
        <f aca="false">F17-G17</f>
        <v>2401.74320333333</v>
      </c>
      <c r="J17" s="35" t="n">
        <f aca="false">J16+I17</f>
        <v>29939.5616433333</v>
      </c>
    </row>
    <row r="18" customFormat="false" ht="15" hidden="false" customHeight="false" outlineLevel="0" collapsed="false">
      <c r="A18" s="34" t="n">
        <v>46661</v>
      </c>
      <c r="B18" s="16" t="s">
        <v>91</v>
      </c>
      <c r="C18" s="35" t="n">
        <f aca="false">'Income &amp; Tax'!$C$14</f>
        <v>4215.58333333333</v>
      </c>
      <c r="D18" s="35" t="n">
        <f aca="false">Budget!$C$15</f>
        <v>1813.84013</v>
      </c>
      <c r="E18" s="35" t="n">
        <f aca="false">C18-D18</f>
        <v>2401.74320333333</v>
      </c>
      <c r="F18" s="35" t="n">
        <f aca="false">E18</f>
        <v>2401.74320333333</v>
      </c>
      <c r="G18" s="35" t="n">
        <f aca="false">MAX(0,MIN(F18,Inputs!$B$43-H17))</f>
        <v>0</v>
      </c>
      <c r="H18" s="35" t="n">
        <f aca="false">H17+G18</f>
        <v>5000</v>
      </c>
      <c r="I18" s="35" t="n">
        <f aca="false">F18-G18</f>
        <v>2401.74320333333</v>
      </c>
      <c r="J18" s="35" t="n">
        <f aca="false">J17+I18</f>
        <v>32341.3048466667</v>
      </c>
    </row>
    <row r="19" customFormat="false" ht="15" hidden="false" customHeight="false" outlineLevel="0" collapsed="false">
      <c r="A19" s="34" t="n">
        <v>46692</v>
      </c>
      <c r="B19" s="16" t="s">
        <v>91</v>
      </c>
      <c r="C19" s="35" t="n">
        <f aca="false">'Income &amp; Tax'!$C$14</f>
        <v>4215.58333333333</v>
      </c>
      <c r="D19" s="35" t="n">
        <f aca="false">Budget!$C$15</f>
        <v>1813.84013</v>
      </c>
      <c r="E19" s="35" t="n">
        <f aca="false">C19-D19</f>
        <v>2401.74320333333</v>
      </c>
      <c r="F19" s="35" t="n">
        <f aca="false">E19</f>
        <v>2401.74320333333</v>
      </c>
      <c r="G19" s="35" t="n">
        <f aca="false">MAX(0,MIN(F19,Inputs!$B$43-H18))</f>
        <v>0</v>
      </c>
      <c r="H19" s="35" t="n">
        <f aca="false">H18+G19</f>
        <v>5000</v>
      </c>
      <c r="I19" s="35" t="n">
        <f aca="false">F19-G19</f>
        <v>2401.74320333333</v>
      </c>
      <c r="J19" s="35" t="n">
        <f aca="false">J18+I19</f>
        <v>34743.04805</v>
      </c>
    </row>
    <row r="20" customFormat="false" ht="15" hidden="false" customHeight="false" outlineLevel="0" collapsed="false">
      <c r="A20" s="34" t="n">
        <v>46722</v>
      </c>
      <c r="B20" s="16" t="s">
        <v>91</v>
      </c>
      <c r="C20" s="35" t="n">
        <f aca="false">'Income &amp; Tax'!$C$14</f>
        <v>4215.58333333333</v>
      </c>
      <c r="D20" s="35" t="n">
        <f aca="false">Budget!$C$15</f>
        <v>1813.84013</v>
      </c>
      <c r="E20" s="35" t="n">
        <f aca="false">C20-D20</f>
        <v>2401.74320333333</v>
      </c>
      <c r="F20" s="35" t="n">
        <f aca="false">E20</f>
        <v>2401.74320333333</v>
      </c>
      <c r="G20" s="35" t="n">
        <f aca="false">MAX(0,MIN(F20,Inputs!$B$43-H19))</f>
        <v>0</v>
      </c>
      <c r="H20" s="35" t="n">
        <f aca="false">H19+G20</f>
        <v>5000</v>
      </c>
      <c r="I20" s="35" t="n">
        <f aca="false">F20-G20</f>
        <v>2401.74320333333</v>
      </c>
      <c r="J20" s="35" t="n">
        <f aca="false">J19+I20</f>
        <v>37144.7912533333</v>
      </c>
    </row>
    <row r="21" customFormat="false" ht="15" hidden="false" customHeight="false" outlineLevel="0" collapsed="false">
      <c r="A21" s="36" t="n">
        <v>46753</v>
      </c>
      <c r="B21" s="37" t="s">
        <v>91</v>
      </c>
      <c r="C21" s="38" t="n">
        <f aca="false">'Income &amp; Tax'!$C$14</f>
        <v>4215.58333333333</v>
      </c>
      <c r="D21" s="38" t="n">
        <f aca="false">Budget!$C$15</f>
        <v>1813.84013</v>
      </c>
      <c r="E21" s="38" t="n">
        <f aca="false">C21-D21</f>
        <v>2401.74320333333</v>
      </c>
      <c r="F21" s="38" t="n">
        <f aca="false">E21</f>
        <v>2401.74320333333</v>
      </c>
      <c r="G21" s="38" t="n">
        <f aca="false">MAX(0,MIN(F21,Inputs!$B$43-H20))</f>
        <v>0</v>
      </c>
      <c r="H21" s="38" t="n">
        <f aca="false">H20+G21</f>
        <v>5000</v>
      </c>
      <c r="I21" s="38" t="n">
        <f aca="false">F21-G21</f>
        <v>2401.74320333333</v>
      </c>
      <c r="J21" s="38" t="n">
        <f aca="false">J20+I21</f>
        <v>39546.5344566667</v>
      </c>
    </row>
    <row r="22" customFormat="false" ht="15" hidden="false" customHeight="false" outlineLevel="0" collapsed="false">
      <c r="A22" s="34" t="n">
        <v>46784</v>
      </c>
      <c r="B22" s="16" t="s">
        <v>91</v>
      </c>
      <c r="C22" s="35" t="n">
        <f aca="false">'Income &amp; Tax'!$C$14</f>
        <v>4215.58333333333</v>
      </c>
      <c r="D22" s="35" t="n">
        <f aca="false">Budget!$C$15</f>
        <v>1813.84013</v>
      </c>
      <c r="E22" s="35" t="n">
        <f aca="false">C22-D22</f>
        <v>2401.74320333333</v>
      </c>
      <c r="F22" s="35" t="n">
        <f aca="false">E22</f>
        <v>2401.74320333333</v>
      </c>
      <c r="G22" s="35" t="n">
        <f aca="false">MAX(0,MIN(F22,Inputs!$B$43-H21))</f>
        <v>0</v>
      </c>
      <c r="H22" s="35" t="n">
        <f aca="false">H21+G22</f>
        <v>5000</v>
      </c>
      <c r="I22" s="35" t="n">
        <f aca="false">F22-G22</f>
        <v>2401.74320333333</v>
      </c>
      <c r="J22" s="35" t="n">
        <f aca="false">J21+I22</f>
        <v>41948.27766</v>
      </c>
    </row>
    <row r="23" customFormat="false" ht="15" hidden="false" customHeight="false" outlineLevel="0" collapsed="false">
      <c r="A23" s="34" t="n">
        <v>46813</v>
      </c>
      <c r="B23" s="16" t="s">
        <v>91</v>
      </c>
      <c r="C23" s="35" t="n">
        <f aca="false">'Income &amp; Tax'!$C$14</f>
        <v>4215.58333333333</v>
      </c>
      <c r="D23" s="35" t="n">
        <f aca="false">Budget!$C$15</f>
        <v>1813.84013</v>
      </c>
      <c r="E23" s="35" t="n">
        <f aca="false">C23-D23</f>
        <v>2401.74320333333</v>
      </c>
      <c r="F23" s="35" t="n">
        <f aca="false">E23</f>
        <v>2401.74320333333</v>
      </c>
      <c r="G23" s="35" t="n">
        <f aca="false">MAX(0,MIN(F23,Inputs!$B$43-H22))</f>
        <v>0</v>
      </c>
      <c r="H23" s="35" t="n">
        <f aca="false">H22+G23</f>
        <v>5000</v>
      </c>
      <c r="I23" s="35" t="n">
        <f aca="false">F23-G23</f>
        <v>2401.74320333333</v>
      </c>
      <c r="J23" s="35" t="n">
        <f aca="false">J22+I23</f>
        <v>44350.0208633333</v>
      </c>
    </row>
    <row r="24" customFormat="false" ht="15" hidden="false" customHeight="false" outlineLevel="0" collapsed="false">
      <c r="A24" s="34" t="n">
        <v>46844</v>
      </c>
      <c r="B24" s="16" t="s">
        <v>91</v>
      </c>
      <c r="C24" s="35" t="n">
        <f aca="false">'Income &amp; Tax'!$C$14</f>
        <v>4215.58333333333</v>
      </c>
      <c r="D24" s="35" t="n">
        <f aca="false">Budget!$C$15</f>
        <v>1813.84013</v>
      </c>
      <c r="E24" s="35" t="n">
        <f aca="false">C24-D24</f>
        <v>2401.74320333333</v>
      </c>
      <c r="F24" s="35" t="n">
        <f aca="false">E24</f>
        <v>2401.74320333333</v>
      </c>
      <c r="G24" s="35" t="n">
        <f aca="false">MAX(0,MIN(F24,Inputs!$B$43-H23))</f>
        <v>0</v>
      </c>
      <c r="H24" s="35" t="n">
        <f aca="false">H23+G24</f>
        <v>5000</v>
      </c>
      <c r="I24" s="35" t="n">
        <f aca="false">F24-G24</f>
        <v>2401.74320333333</v>
      </c>
      <c r="J24" s="35" t="n">
        <f aca="false">J23+I24</f>
        <v>46751.7640666667</v>
      </c>
    </row>
    <row r="25" customFormat="false" ht="15" hidden="false" customHeight="false" outlineLevel="0" collapsed="false">
      <c r="A25" s="34" t="n">
        <v>46874</v>
      </c>
      <c r="B25" s="16" t="s">
        <v>91</v>
      </c>
      <c r="C25" s="35" t="n">
        <f aca="false">'Income &amp; Tax'!$C$14</f>
        <v>4215.58333333333</v>
      </c>
      <c r="D25" s="35" t="n">
        <f aca="false">Budget!$C$15</f>
        <v>1813.84013</v>
      </c>
      <c r="E25" s="35" t="n">
        <f aca="false">C25-D25</f>
        <v>2401.74320333333</v>
      </c>
      <c r="F25" s="35" t="n">
        <f aca="false">E25</f>
        <v>2401.74320333333</v>
      </c>
      <c r="G25" s="35" t="n">
        <f aca="false">MAX(0,MIN(F25,Inputs!$B$43-H24))</f>
        <v>0</v>
      </c>
      <c r="H25" s="35" t="n">
        <f aca="false">H24+G25</f>
        <v>5000</v>
      </c>
      <c r="I25" s="35" t="n">
        <f aca="false">F25-G25</f>
        <v>2401.74320333333</v>
      </c>
      <c r="J25" s="35" t="n">
        <f aca="false">J24+I25</f>
        <v>49153.50727</v>
      </c>
    </row>
    <row r="26" customFormat="false" ht="15" hidden="false" customHeight="false" outlineLevel="0" collapsed="false">
      <c r="A26" s="34" t="n">
        <v>46905</v>
      </c>
      <c r="B26" s="16" t="s">
        <v>91</v>
      </c>
      <c r="C26" s="35" t="n">
        <f aca="false">'Income &amp; Tax'!$C$14</f>
        <v>4215.58333333333</v>
      </c>
      <c r="D26" s="35" t="n">
        <f aca="false">Budget!$C$15</f>
        <v>1813.84013</v>
      </c>
      <c r="E26" s="35" t="n">
        <f aca="false">C26-D26</f>
        <v>2401.74320333333</v>
      </c>
      <c r="F26" s="35" t="n">
        <f aca="false">E26</f>
        <v>2401.74320333333</v>
      </c>
      <c r="G26" s="35" t="n">
        <f aca="false">MAX(0,MIN(F26,Inputs!$B$43-H25))</f>
        <v>0</v>
      </c>
      <c r="H26" s="35" t="n">
        <f aca="false">H25+G26</f>
        <v>5000</v>
      </c>
      <c r="I26" s="35" t="n">
        <f aca="false">F26-G26</f>
        <v>2401.74320333333</v>
      </c>
      <c r="J26" s="35" t="n">
        <f aca="false">J25+I26</f>
        <v>51555.2504733333</v>
      </c>
    </row>
    <row r="27" customFormat="false" ht="15" hidden="false" customHeight="false" outlineLevel="0" collapsed="false">
      <c r="A27" s="34" t="n">
        <v>46935</v>
      </c>
      <c r="B27" s="16" t="s">
        <v>91</v>
      </c>
      <c r="C27" s="35" t="n">
        <f aca="false">'Income &amp; Tax'!$C$14</f>
        <v>4215.58333333333</v>
      </c>
      <c r="D27" s="35" t="n">
        <f aca="false">Budget!$C$15</f>
        <v>1813.84013</v>
      </c>
      <c r="E27" s="35" t="n">
        <f aca="false">C27-D27</f>
        <v>2401.74320333333</v>
      </c>
      <c r="F27" s="35" t="n">
        <f aca="false">E27</f>
        <v>2401.74320333333</v>
      </c>
      <c r="G27" s="35" t="n">
        <f aca="false">MAX(0,MIN(F27,Inputs!$B$43-H26))</f>
        <v>0</v>
      </c>
      <c r="H27" s="35" t="n">
        <f aca="false">H26+G27</f>
        <v>5000</v>
      </c>
      <c r="I27" s="35" t="n">
        <f aca="false">F27-G27</f>
        <v>2401.74320333333</v>
      </c>
      <c r="J27" s="35" t="n">
        <f aca="false">J26+I27</f>
        <v>53956.9936766666</v>
      </c>
    </row>
    <row r="28" customFormat="false" ht="15" hidden="false" customHeight="false" outlineLevel="0" collapsed="false">
      <c r="A28" s="34" t="n">
        <v>46966</v>
      </c>
      <c r="B28" s="16" t="s">
        <v>91</v>
      </c>
      <c r="C28" s="35" t="n">
        <f aca="false">'Income &amp; Tax'!$C$14</f>
        <v>4215.58333333333</v>
      </c>
      <c r="D28" s="35" t="n">
        <f aca="false">Budget!$C$15</f>
        <v>1813.84013</v>
      </c>
      <c r="E28" s="35" t="n">
        <f aca="false">C28-D28</f>
        <v>2401.74320333333</v>
      </c>
      <c r="F28" s="35" t="n">
        <f aca="false">E28</f>
        <v>2401.74320333333</v>
      </c>
      <c r="G28" s="35" t="n">
        <f aca="false">MAX(0,MIN(F28,Inputs!$B$43-H27))</f>
        <v>0</v>
      </c>
      <c r="H28" s="35" t="n">
        <f aca="false">H27+G28</f>
        <v>5000</v>
      </c>
      <c r="I28" s="35" t="n">
        <f aca="false">F28-G28</f>
        <v>2401.74320333333</v>
      </c>
      <c r="J28" s="35" t="n">
        <f aca="false">J27+I28</f>
        <v>56358.73688</v>
      </c>
    </row>
    <row r="29" customFormat="false" ht="15" hidden="false" customHeight="false" outlineLevel="0" collapsed="false">
      <c r="A29" s="34" t="n">
        <v>46997</v>
      </c>
      <c r="B29" s="16" t="s">
        <v>91</v>
      </c>
      <c r="C29" s="35" t="n">
        <f aca="false">'Income &amp; Tax'!$C$14</f>
        <v>4215.58333333333</v>
      </c>
      <c r="D29" s="35" t="n">
        <f aca="false">Budget!$C$15</f>
        <v>1813.84013</v>
      </c>
      <c r="E29" s="35" t="n">
        <f aca="false">C29-D29</f>
        <v>2401.74320333333</v>
      </c>
      <c r="F29" s="35" t="n">
        <f aca="false">E29</f>
        <v>2401.74320333333</v>
      </c>
      <c r="G29" s="35" t="n">
        <f aca="false">MAX(0,MIN(F29,Inputs!$B$43-H28))</f>
        <v>0</v>
      </c>
      <c r="H29" s="35" t="n">
        <f aca="false">H28+G29</f>
        <v>5000</v>
      </c>
      <c r="I29" s="35" t="n">
        <f aca="false">F29-G29</f>
        <v>2401.74320333333</v>
      </c>
      <c r="J29" s="35" t="n">
        <f aca="false">J28+I29</f>
        <v>58760.4800833333</v>
      </c>
    </row>
    <row r="30" customFormat="false" ht="15" hidden="false" customHeight="false" outlineLevel="0" collapsed="false">
      <c r="A30" s="34" t="n">
        <v>47027</v>
      </c>
      <c r="B30" s="16" t="s">
        <v>91</v>
      </c>
      <c r="C30" s="35" t="n">
        <f aca="false">'Income &amp; Tax'!$C$14</f>
        <v>4215.58333333333</v>
      </c>
      <c r="D30" s="35" t="n">
        <f aca="false">Budget!$C$15</f>
        <v>1813.84013</v>
      </c>
      <c r="E30" s="35" t="n">
        <f aca="false">C30-D30</f>
        <v>2401.74320333333</v>
      </c>
      <c r="F30" s="35" t="n">
        <f aca="false">E30</f>
        <v>2401.74320333333</v>
      </c>
      <c r="G30" s="35" t="n">
        <f aca="false">MAX(0,MIN(F30,Inputs!$B$43-H29))</f>
        <v>0</v>
      </c>
      <c r="H30" s="35" t="n">
        <f aca="false">H29+G30</f>
        <v>5000</v>
      </c>
      <c r="I30" s="35" t="n">
        <f aca="false">F30-G30</f>
        <v>2401.74320333333</v>
      </c>
      <c r="J30" s="35" t="n">
        <f aca="false">J29+I30</f>
        <v>61162.2232866666</v>
      </c>
    </row>
    <row r="31" customFormat="false" ht="15" hidden="false" customHeight="false" outlineLevel="0" collapsed="false">
      <c r="A31" s="34" t="n">
        <v>47058</v>
      </c>
      <c r="B31" s="16" t="s">
        <v>91</v>
      </c>
      <c r="C31" s="35" t="n">
        <f aca="false">'Income &amp; Tax'!$C$14</f>
        <v>4215.58333333333</v>
      </c>
      <c r="D31" s="35" t="n">
        <f aca="false">Budget!$C$15</f>
        <v>1813.84013</v>
      </c>
      <c r="E31" s="35" t="n">
        <f aca="false">C31-D31</f>
        <v>2401.74320333333</v>
      </c>
      <c r="F31" s="35" t="n">
        <f aca="false">E31</f>
        <v>2401.74320333333</v>
      </c>
      <c r="G31" s="35" t="n">
        <f aca="false">MAX(0,MIN(F31,Inputs!$B$43-H30))</f>
        <v>0</v>
      </c>
      <c r="H31" s="35" t="n">
        <f aca="false">H30+G31</f>
        <v>5000</v>
      </c>
      <c r="I31" s="35" t="n">
        <f aca="false">F31-G31</f>
        <v>2401.74320333333</v>
      </c>
      <c r="J31" s="35" t="n">
        <f aca="false">J30+I31</f>
        <v>63563.96649</v>
      </c>
    </row>
    <row r="32" customFormat="false" ht="15" hidden="false" customHeight="false" outlineLevel="0" collapsed="false">
      <c r="A32" s="34" t="n">
        <v>47088</v>
      </c>
      <c r="B32" s="16" t="s">
        <v>91</v>
      </c>
      <c r="C32" s="35" t="n">
        <f aca="false">'Income &amp; Tax'!$C$14</f>
        <v>4215.58333333333</v>
      </c>
      <c r="D32" s="35" t="n">
        <f aca="false">Budget!$C$15</f>
        <v>1813.84013</v>
      </c>
      <c r="E32" s="35" t="n">
        <f aca="false">C32-D32</f>
        <v>2401.74320333333</v>
      </c>
      <c r="F32" s="35" t="n">
        <f aca="false">E32</f>
        <v>2401.74320333333</v>
      </c>
      <c r="G32" s="35" t="n">
        <f aca="false">MAX(0,MIN(F32,Inputs!$B$43-H31))</f>
        <v>0</v>
      </c>
      <c r="H32" s="35" t="n">
        <f aca="false">H31+G32</f>
        <v>5000</v>
      </c>
      <c r="I32" s="35" t="n">
        <f aca="false">F32-G32</f>
        <v>2401.74320333333</v>
      </c>
      <c r="J32" s="35" t="n">
        <f aca="false">J31+I32</f>
        <v>65965.7096933333</v>
      </c>
    </row>
    <row r="33" customFormat="false" ht="15" hidden="false" customHeight="false" outlineLevel="0" collapsed="false">
      <c r="A33" s="36" t="n">
        <v>47119</v>
      </c>
      <c r="B33" s="37" t="s">
        <v>91</v>
      </c>
      <c r="C33" s="38" t="n">
        <f aca="false">'Income &amp; Tax'!$C$14</f>
        <v>4215.58333333333</v>
      </c>
      <c r="D33" s="38" t="n">
        <f aca="false">Budget!$C$15</f>
        <v>1813.84013</v>
      </c>
      <c r="E33" s="38" t="n">
        <f aca="false">C33-D33</f>
        <v>2401.74320333333</v>
      </c>
      <c r="F33" s="38" t="n">
        <f aca="false">E33</f>
        <v>2401.74320333333</v>
      </c>
      <c r="G33" s="38" t="n">
        <f aca="false">MAX(0,MIN(F33,Inputs!$B$43-H32))</f>
        <v>0</v>
      </c>
      <c r="H33" s="38" t="n">
        <f aca="false">H32+G33</f>
        <v>5000</v>
      </c>
      <c r="I33" s="38" t="n">
        <f aca="false">F33-G33</f>
        <v>2401.74320333333</v>
      </c>
      <c r="J33" s="38" t="n">
        <f aca="false">J32+I33</f>
        <v>68367.4528966666</v>
      </c>
    </row>
    <row r="34" customFormat="false" ht="15" hidden="false" customHeight="false" outlineLevel="0" collapsed="false">
      <c r="A34" s="34" t="n">
        <v>47150</v>
      </c>
      <c r="B34" s="16" t="s">
        <v>91</v>
      </c>
      <c r="C34" s="35" t="n">
        <f aca="false">'Income &amp; Tax'!$C$14</f>
        <v>4215.58333333333</v>
      </c>
      <c r="D34" s="35" t="n">
        <f aca="false">Budget!$C$15</f>
        <v>1813.84013</v>
      </c>
      <c r="E34" s="35" t="n">
        <f aca="false">C34-D34</f>
        <v>2401.74320333333</v>
      </c>
      <c r="F34" s="35" t="n">
        <f aca="false">E34</f>
        <v>2401.74320333333</v>
      </c>
      <c r="G34" s="35" t="n">
        <f aca="false">MAX(0,MIN(F34,Inputs!$B$43-H33))</f>
        <v>0</v>
      </c>
      <c r="H34" s="35" t="n">
        <f aca="false">H33+G34</f>
        <v>5000</v>
      </c>
      <c r="I34" s="35" t="n">
        <f aca="false">F34-G34</f>
        <v>2401.74320333333</v>
      </c>
      <c r="J34" s="35" t="n">
        <f aca="false">J33+I34</f>
        <v>70769.1961</v>
      </c>
    </row>
    <row r="35" customFormat="false" ht="15" hidden="false" customHeight="false" outlineLevel="0" collapsed="false">
      <c r="A35" s="34" t="n">
        <v>47178</v>
      </c>
      <c r="B35" s="16" t="s">
        <v>91</v>
      </c>
      <c r="C35" s="35" t="n">
        <f aca="false">'Income &amp; Tax'!$C$14</f>
        <v>4215.58333333333</v>
      </c>
      <c r="D35" s="35" t="n">
        <f aca="false">Budget!$C$15</f>
        <v>1813.84013</v>
      </c>
      <c r="E35" s="35" t="n">
        <f aca="false">C35-D35</f>
        <v>2401.74320333333</v>
      </c>
      <c r="F35" s="35" t="n">
        <f aca="false">E35</f>
        <v>2401.74320333333</v>
      </c>
      <c r="G35" s="35" t="n">
        <f aca="false">MAX(0,MIN(F35,Inputs!$B$43-H34))</f>
        <v>0</v>
      </c>
      <c r="H35" s="35" t="n">
        <f aca="false">H34+G35</f>
        <v>5000</v>
      </c>
      <c r="I35" s="35" t="n">
        <f aca="false">F35-G35</f>
        <v>2401.74320333333</v>
      </c>
      <c r="J35" s="35" t="n">
        <f aca="false">J34+I35</f>
        <v>73170.9393033333</v>
      </c>
    </row>
    <row r="36" customFormat="false" ht="15" hidden="false" customHeight="false" outlineLevel="0" collapsed="false">
      <c r="A36" s="34" t="n">
        <v>47209</v>
      </c>
      <c r="B36" s="16" t="s">
        <v>91</v>
      </c>
      <c r="C36" s="35" t="n">
        <f aca="false">'Income &amp; Tax'!$C$14</f>
        <v>4215.58333333333</v>
      </c>
      <c r="D36" s="35" t="n">
        <f aca="false">Budget!$C$15</f>
        <v>1813.84013</v>
      </c>
      <c r="E36" s="35" t="n">
        <f aca="false">C36-D36</f>
        <v>2401.74320333333</v>
      </c>
      <c r="F36" s="35" t="n">
        <f aca="false">E36</f>
        <v>2401.74320333333</v>
      </c>
      <c r="G36" s="35" t="n">
        <f aca="false">MAX(0,MIN(F36,Inputs!$B$43-H35))</f>
        <v>0</v>
      </c>
      <c r="H36" s="35" t="n">
        <f aca="false">H35+G36</f>
        <v>5000</v>
      </c>
      <c r="I36" s="35" t="n">
        <f aca="false">F36-G36</f>
        <v>2401.74320333333</v>
      </c>
      <c r="J36" s="35" t="n">
        <f aca="false">J35+I36</f>
        <v>75572.6825066666</v>
      </c>
    </row>
    <row r="37" customFormat="false" ht="15" hidden="false" customHeight="false" outlineLevel="0" collapsed="false">
      <c r="A37" s="34" t="n">
        <v>47239</v>
      </c>
      <c r="B37" s="16" t="s">
        <v>91</v>
      </c>
      <c r="C37" s="35" t="n">
        <f aca="false">'Income &amp; Tax'!$C$14</f>
        <v>4215.58333333333</v>
      </c>
      <c r="D37" s="35" t="n">
        <f aca="false">Budget!$C$15</f>
        <v>1813.84013</v>
      </c>
      <c r="E37" s="35" t="n">
        <f aca="false">C37-D37</f>
        <v>2401.74320333333</v>
      </c>
      <c r="F37" s="35" t="n">
        <f aca="false">E37</f>
        <v>2401.74320333333</v>
      </c>
      <c r="G37" s="35" t="n">
        <f aca="false">MAX(0,MIN(F37,Inputs!$B$43-H36))</f>
        <v>0</v>
      </c>
      <c r="H37" s="35" t="n">
        <f aca="false">H36+G37</f>
        <v>5000</v>
      </c>
      <c r="I37" s="35" t="n">
        <f aca="false">F37-G37</f>
        <v>2401.74320333333</v>
      </c>
      <c r="J37" s="35" t="n">
        <f aca="false">J36+I37</f>
        <v>77974.42571</v>
      </c>
    </row>
    <row r="38" customFormat="false" ht="15" hidden="false" customHeight="false" outlineLevel="0" collapsed="false">
      <c r="A38" s="34" t="n">
        <v>47270</v>
      </c>
      <c r="B38" s="16" t="s">
        <v>91</v>
      </c>
      <c r="C38" s="35" t="n">
        <f aca="false">'Income &amp; Tax'!$C$14</f>
        <v>4215.58333333333</v>
      </c>
      <c r="D38" s="35" t="n">
        <f aca="false">Budget!$C$15</f>
        <v>1813.84013</v>
      </c>
      <c r="E38" s="35" t="n">
        <f aca="false">C38-D38</f>
        <v>2401.74320333333</v>
      </c>
      <c r="F38" s="35" t="n">
        <f aca="false">E38</f>
        <v>2401.74320333333</v>
      </c>
      <c r="G38" s="35" t="n">
        <f aca="false">MAX(0,MIN(F38,Inputs!$B$43-H37))</f>
        <v>0</v>
      </c>
      <c r="H38" s="35" t="n">
        <f aca="false">H37+G38</f>
        <v>5000</v>
      </c>
      <c r="I38" s="35" t="n">
        <f aca="false">F38-G38</f>
        <v>2401.74320333333</v>
      </c>
      <c r="J38" s="35" t="n">
        <f aca="false">J37+I38</f>
        <v>80376.1689133333</v>
      </c>
    </row>
    <row r="39" customFormat="false" ht="15" hidden="false" customHeight="false" outlineLevel="0" collapsed="false">
      <c r="A39" s="34" t="n">
        <v>47300</v>
      </c>
      <c r="B39" s="16" t="s">
        <v>91</v>
      </c>
      <c r="C39" s="35" t="n">
        <f aca="false">'Income &amp; Tax'!$C$14</f>
        <v>4215.58333333333</v>
      </c>
      <c r="D39" s="35" t="n">
        <f aca="false">Budget!$C$15</f>
        <v>1813.84013</v>
      </c>
      <c r="E39" s="35" t="n">
        <f aca="false">C39-D39</f>
        <v>2401.74320333333</v>
      </c>
      <c r="F39" s="35" t="n">
        <f aca="false">E39</f>
        <v>2401.74320333333</v>
      </c>
      <c r="G39" s="35" t="n">
        <f aca="false">MAX(0,MIN(F39,Inputs!$B$43-H38))</f>
        <v>0</v>
      </c>
      <c r="H39" s="35" t="n">
        <f aca="false">H38+G39</f>
        <v>5000</v>
      </c>
      <c r="I39" s="35" t="n">
        <f aca="false">F39-G39</f>
        <v>2401.74320333333</v>
      </c>
      <c r="J39" s="35" t="n">
        <f aca="false">J38+I39</f>
        <v>82777.9121166666</v>
      </c>
    </row>
    <row r="40" customFormat="false" ht="15" hidden="false" customHeight="false" outlineLevel="0" collapsed="false">
      <c r="A40" s="34" t="n">
        <v>47331</v>
      </c>
      <c r="B40" s="16" t="s">
        <v>91</v>
      </c>
      <c r="C40" s="35" t="n">
        <f aca="false">'Income &amp; Tax'!$C$14</f>
        <v>4215.58333333333</v>
      </c>
      <c r="D40" s="35" t="n">
        <f aca="false">Budget!$C$15</f>
        <v>1813.84013</v>
      </c>
      <c r="E40" s="35" t="n">
        <f aca="false">C40-D40</f>
        <v>2401.74320333333</v>
      </c>
      <c r="F40" s="35" t="n">
        <f aca="false">E40</f>
        <v>2401.74320333333</v>
      </c>
      <c r="G40" s="35" t="n">
        <f aca="false">MAX(0,MIN(F40,Inputs!$B$43-H39))</f>
        <v>0</v>
      </c>
      <c r="H40" s="35" t="n">
        <f aca="false">H39+G40</f>
        <v>5000</v>
      </c>
      <c r="I40" s="35" t="n">
        <f aca="false">F40-G40</f>
        <v>2401.74320333333</v>
      </c>
      <c r="J40" s="35" t="n">
        <f aca="false">J39+I40</f>
        <v>85179.65532</v>
      </c>
    </row>
    <row r="41" customFormat="false" ht="15" hidden="false" customHeight="false" outlineLevel="0" collapsed="false">
      <c r="A41" s="34" t="n">
        <v>47362</v>
      </c>
      <c r="B41" s="16" t="s">
        <v>91</v>
      </c>
      <c r="C41" s="35" t="n">
        <f aca="false">'Income &amp; Tax'!$C$14</f>
        <v>4215.58333333333</v>
      </c>
      <c r="D41" s="35" t="n">
        <f aca="false">Budget!$C$15</f>
        <v>1813.84013</v>
      </c>
      <c r="E41" s="35" t="n">
        <f aca="false">C41-D41</f>
        <v>2401.74320333333</v>
      </c>
      <c r="F41" s="35" t="n">
        <f aca="false">E41</f>
        <v>2401.74320333333</v>
      </c>
      <c r="G41" s="35" t="n">
        <f aca="false">MAX(0,MIN(F41,Inputs!$B$43-H40))</f>
        <v>0</v>
      </c>
      <c r="H41" s="35" t="n">
        <f aca="false">H40+G41</f>
        <v>5000</v>
      </c>
      <c r="I41" s="35" t="n">
        <f aca="false">F41-G41</f>
        <v>2401.74320333333</v>
      </c>
      <c r="J41" s="35" t="n">
        <f aca="false">J40+I41</f>
        <v>87581.3985233333</v>
      </c>
    </row>
    <row r="42" customFormat="false" ht="15" hidden="false" customHeight="false" outlineLevel="0" collapsed="false">
      <c r="A42" s="34" t="n">
        <v>47392</v>
      </c>
      <c r="B42" s="16" t="s">
        <v>91</v>
      </c>
      <c r="C42" s="35" t="n">
        <f aca="false">'Income &amp; Tax'!$C$14</f>
        <v>4215.58333333333</v>
      </c>
      <c r="D42" s="35" t="n">
        <f aca="false">Budget!$C$15</f>
        <v>1813.84013</v>
      </c>
      <c r="E42" s="35" t="n">
        <f aca="false">C42-D42</f>
        <v>2401.74320333333</v>
      </c>
      <c r="F42" s="35" t="n">
        <f aca="false">E42</f>
        <v>2401.74320333333</v>
      </c>
      <c r="G42" s="35" t="n">
        <f aca="false">MAX(0,MIN(F42,Inputs!$B$43-H41))</f>
        <v>0</v>
      </c>
      <c r="H42" s="35" t="n">
        <f aca="false">H41+G42</f>
        <v>5000</v>
      </c>
      <c r="I42" s="35" t="n">
        <f aca="false">F42-G42</f>
        <v>2401.74320333333</v>
      </c>
      <c r="J42" s="35" t="n">
        <f aca="false">J41+I42</f>
        <v>89983.1417266666</v>
      </c>
    </row>
    <row r="43" customFormat="false" ht="15" hidden="false" customHeight="false" outlineLevel="0" collapsed="false">
      <c r="A43" s="34" t="n">
        <v>47423</v>
      </c>
      <c r="B43" s="16" t="s">
        <v>91</v>
      </c>
      <c r="C43" s="35" t="n">
        <f aca="false">'Income &amp; Tax'!$C$14</f>
        <v>4215.58333333333</v>
      </c>
      <c r="D43" s="35" t="n">
        <f aca="false">Budget!$C$15</f>
        <v>1813.84013</v>
      </c>
      <c r="E43" s="35" t="n">
        <f aca="false">C43-D43</f>
        <v>2401.74320333333</v>
      </c>
      <c r="F43" s="35" t="n">
        <f aca="false">E43</f>
        <v>2401.74320333333</v>
      </c>
      <c r="G43" s="35" t="n">
        <f aca="false">MAX(0,MIN(F43,Inputs!$B$43-H42))</f>
        <v>0</v>
      </c>
      <c r="H43" s="35" t="n">
        <f aca="false">H42+G43</f>
        <v>5000</v>
      </c>
      <c r="I43" s="35" t="n">
        <f aca="false">F43-G43</f>
        <v>2401.74320333333</v>
      </c>
      <c r="J43" s="35" t="n">
        <f aca="false">J42+I43</f>
        <v>92384.88493</v>
      </c>
    </row>
    <row r="44" customFormat="false" ht="15" hidden="false" customHeight="false" outlineLevel="0" collapsed="false">
      <c r="A44" s="34" t="n">
        <v>47453</v>
      </c>
      <c r="B44" s="16" t="s">
        <v>91</v>
      </c>
      <c r="C44" s="35" t="n">
        <f aca="false">'Income &amp; Tax'!$C$14</f>
        <v>4215.58333333333</v>
      </c>
      <c r="D44" s="35" t="n">
        <f aca="false">Budget!$C$15</f>
        <v>1813.84013</v>
      </c>
      <c r="E44" s="35" t="n">
        <f aca="false">C44-D44</f>
        <v>2401.74320333333</v>
      </c>
      <c r="F44" s="35" t="n">
        <f aca="false">E44</f>
        <v>2401.74320333333</v>
      </c>
      <c r="G44" s="35" t="n">
        <f aca="false">MAX(0,MIN(F44,Inputs!$B$43-H43))</f>
        <v>0</v>
      </c>
      <c r="H44" s="35" t="n">
        <f aca="false">H43+G44</f>
        <v>5000</v>
      </c>
      <c r="I44" s="35" t="n">
        <f aca="false">F44-G44</f>
        <v>2401.74320333333</v>
      </c>
      <c r="J44" s="35" t="n">
        <f aca="false">J43+I44</f>
        <v>94786.6281333333</v>
      </c>
    </row>
    <row r="46" customFormat="false" ht="15" hidden="false" customHeight="false" outlineLevel="0" collapsed="false">
      <c r="A46" s="39" t="s">
        <v>92</v>
      </c>
      <c r="B46" s="39"/>
      <c r="C46" s="39"/>
      <c r="D46" s="40" t="n">
        <f aca="false">J44</f>
        <v>94786.6281333333</v>
      </c>
    </row>
    <row r="47" customFormat="false" ht="15" hidden="false" customHeight="false" outlineLevel="0" collapsed="false">
      <c r="A47" s="24" t="s">
        <v>93</v>
      </c>
      <c r="B47" s="24"/>
      <c r="C47" s="24"/>
      <c r="D47" s="24"/>
      <c r="E47" s="24"/>
      <c r="F47" s="24"/>
      <c r="G47" s="24"/>
      <c r="H47" s="24"/>
      <c r="I47" s="24"/>
      <c r="J47" s="24"/>
    </row>
    <row r="48" customFormat="false" ht="15" hidden="false" customHeight="false" outlineLevel="0" collapsed="false">
      <c r="A48" s="24" t="s">
        <v>94</v>
      </c>
      <c r="B48" s="24"/>
      <c r="C48" s="24"/>
      <c r="D48" s="24"/>
      <c r="E48" s="24"/>
      <c r="F48" s="24"/>
      <c r="G48" s="24"/>
      <c r="H48" s="24"/>
      <c r="I48" s="24"/>
      <c r="J48" s="24"/>
    </row>
  </sheetData>
  <mergeCells count="4">
    <mergeCell ref="A1:J1"/>
    <mergeCell ref="A46:C46"/>
    <mergeCell ref="A47:J47"/>
    <mergeCell ref="A48:J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8"/>
  </cols>
  <sheetData>
    <row r="1" customFormat="false" ht="24" hidden="false" customHeight="true" outlineLevel="0" collapsed="false">
      <c r="A1" s="10" t="s">
        <v>95</v>
      </c>
      <c r="B1" s="10"/>
      <c r="C1" s="10"/>
      <c r="D1" s="10"/>
      <c r="E1" s="10"/>
      <c r="F1" s="10"/>
      <c r="G1" s="10"/>
    </row>
    <row r="3" customFormat="false" ht="15" hidden="false" customHeight="false" outlineLevel="0" collapsed="false">
      <c r="A3" s="6" t="s">
        <v>96</v>
      </c>
      <c r="B3" s="6"/>
      <c r="C3" s="6"/>
      <c r="D3" s="6"/>
      <c r="E3" s="6"/>
      <c r="F3" s="6"/>
      <c r="G3" s="6"/>
    </row>
    <row r="5" customFormat="false" ht="25.5" hidden="false" customHeight="true" outlineLevel="0" collapsed="false">
      <c r="A5" s="30" t="s">
        <v>97</v>
      </c>
      <c r="B5" s="30" t="s">
        <v>98</v>
      </c>
      <c r="C5" s="30" t="s">
        <v>99</v>
      </c>
      <c r="D5" s="30" t="s">
        <v>100</v>
      </c>
      <c r="E5" s="30" t="s">
        <v>101</v>
      </c>
      <c r="F5" s="30" t="s">
        <v>102</v>
      </c>
      <c r="G5" s="30" t="s">
        <v>103</v>
      </c>
    </row>
    <row r="6" customFormat="false" ht="15" hidden="false" customHeight="false" outlineLevel="0" collapsed="false">
      <c r="A6" s="41" t="s">
        <v>104</v>
      </c>
      <c r="B6" s="42" t="s">
        <v>105</v>
      </c>
      <c r="C6" s="43" t="n">
        <v>60</v>
      </c>
      <c r="D6" s="44" t="n">
        <v>8.71</v>
      </c>
      <c r="E6" s="27" t="n">
        <f aca="false">C6*D6</f>
        <v>522.6</v>
      </c>
      <c r="F6" s="45" t="n">
        <f aca="false">E6/$E$11</f>
        <v>0.147356548709996</v>
      </c>
      <c r="G6" s="46"/>
    </row>
    <row r="7" customFormat="false" ht="15" hidden="false" customHeight="false" outlineLevel="0" collapsed="false">
      <c r="A7" s="41" t="s">
        <v>106</v>
      </c>
      <c r="B7" s="42" t="s">
        <v>107</v>
      </c>
      <c r="C7" s="43" t="n">
        <v>19</v>
      </c>
      <c r="D7" s="44" t="n">
        <v>38.04</v>
      </c>
      <c r="E7" s="27" t="n">
        <f aca="false">C7*D7</f>
        <v>722.76</v>
      </c>
      <c r="F7" s="45" t="n">
        <f aca="false">E7/$E$11</f>
        <v>0.203795291132102</v>
      </c>
      <c r="G7" s="46"/>
    </row>
    <row r="8" customFormat="false" ht="15" hidden="false" customHeight="false" outlineLevel="0" collapsed="false">
      <c r="A8" s="41" t="s">
        <v>108</v>
      </c>
      <c r="B8" s="42" t="s">
        <v>109</v>
      </c>
      <c r="C8" s="43" t="n">
        <v>629</v>
      </c>
      <c r="D8" s="44" t="n">
        <v>1.23</v>
      </c>
      <c r="E8" s="27" t="n">
        <f aca="false">C8*D8</f>
        <v>773.67</v>
      </c>
      <c r="F8" s="45" t="n">
        <f aca="false">E8/$E$11</f>
        <v>0.218150289017341</v>
      </c>
      <c r="G8" s="46"/>
    </row>
    <row r="9" customFormat="false" ht="15" hidden="false" customHeight="false" outlineLevel="0" collapsed="false">
      <c r="A9" s="41" t="s">
        <v>110</v>
      </c>
      <c r="B9" s="42" t="s">
        <v>111</v>
      </c>
      <c r="C9" s="43" t="n">
        <v>76</v>
      </c>
      <c r="D9" s="44" t="n">
        <v>11.86</v>
      </c>
      <c r="E9" s="27" t="n">
        <f aca="false">C9*D9</f>
        <v>901.36</v>
      </c>
      <c r="F9" s="45" t="n">
        <f aca="false">E9/$E$11</f>
        <v>0.254154800507543</v>
      </c>
      <c r="G9" s="46"/>
    </row>
    <row r="10" customFormat="false" ht="15" hidden="false" customHeight="false" outlineLevel="0" collapsed="false">
      <c r="A10" s="41" t="s">
        <v>112</v>
      </c>
      <c r="B10" s="42" t="s">
        <v>113</v>
      </c>
      <c r="C10" s="43" t="n">
        <v>127</v>
      </c>
      <c r="D10" s="44" t="n">
        <v>4.93</v>
      </c>
      <c r="E10" s="27" t="n">
        <f aca="false">C10*D10</f>
        <v>626.11</v>
      </c>
      <c r="F10" s="45" t="n">
        <f aca="false">E10/$E$11</f>
        <v>0.176543070633018</v>
      </c>
      <c r="G10" s="46"/>
    </row>
    <row r="11" customFormat="false" ht="15" hidden="false" customHeight="false" outlineLevel="0" collapsed="false">
      <c r="A11" s="47" t="s">
        <v>114</v>
      </c>
      <c r="B11" s="48"/>
      <c r="C11" s="49" t="n">
        <f aca="false">SUM(C6:C10)</f>
        <v>911</v>
      </c>
      <c r="D11" s="48"/>
      <c r="E11" s="29" t="n">
        <f aca="false">SUM(E6:E10)</f>
        <v>3546.5</v>
      </c>
      <c r="F11" s="50" t="n">
        <v>1</v>
      </c>
      <c r="G11" s="29" t="n">
        <f aca="false">SUM(G6:G10)</f>
        <v>0</v>
      </c>
    </row>
    <row r="13" customFormat="false" ht="27.75" hidden="false" customHeight="true" outlineLevel="0" collapsed="false">
      <c r="A13" s="51" t="s">
        <v>115</v>
      </c>
      <c r="B13" s="51"/>
      <c r="C13" s="51"/>
      <c r="D13" s="51"/>
      <c r="E13" s="51"/>
      <c r="F13" s="51"/>
      <c r="G13" s="51"/>
    </row>
    <row r="15" customFormat="false" ht="15" hidden="false" customHeight="false" outlineLevel="0" collapsed="false">
      <c r="A15" s="6" t="s">
        <v>116</v>
      </c>
      <c r="B15" s="6"/>
      <c r="C15" s="6"/>
      <c r="D15" s="6"/>
      <c r="E15" s="6"/>
      <c r="F15" s="6"/>
      <c r="G15" s="6"/>
    </row>
    <row r="16" customFormat="false" ht="15" hidden="false" customHeight="false" outlineLevel="0" collapsed="false">
      <c r="A16" s="14" t="s">
        <v>117</v>
      </c>
      <c r="E16" s="25" t="n">
        <f aca="false">E11</f>
        <v>3546.5</v>
      </c>
    </row>
    <row r="17" customFormat="false" ht="15" hidden="false" customHeight="false" outlineLevel="0" collapsed="false">
      <c r="A17" s="14" t="s">
        <v>118</v>
      </c>
      <c r="E17" s="25" t="n">
        <f aca="false">Inputs!$B$14</f>
        <v>19790.73</v>
      </c>
    </row>
    <row r="18" customFormat="false" ht="15" hidden="false" customHeight="false" outlineLevel="0" collapsed="false">
      <c r="A18" s="14" t="s">
        <v>119</v>
      </c>
      <c r="E18" s="25" t="n">
        <f aca="false">Inputs!$B$10</f>
        <v>3000</v>
      </c>
    </row>
    <row r="19" customFormat="false" ht="15" hidden="false" customHeight="false" outlineLevel="0" collapsed="false">
      <c r="A19" s="14" t="s">
        <v>120</v>
      </c>
      <c r="E19" s="25" t="n">
        <f aca="false">Inputs!$B$11</f>
        <v>3100</v>
      </c>
    </row>
    <row r="20" customFormat="false" ht="15" hidden="false" customHeight="false" outlineLevel="0" collapsed="false">
      <c r="A20" s="14" t="s">
        <v>121</v>
      </c>
      <c r="E20" s="25" t="n">
        <f aca="false">Inputs!$B$9</f>
        <v>0</v>
      </c>
    </row>
    <row r="21" customFormat="false" ht="15" hidden="false" customHeight="false" outlineLevel="0" collapsed="false">
      <c r="A21" s="20" t="s">
        <v>122</v>
      </c>
      <c r="E21" s="26" t="n">
        <f aca="false">SUM(E16:E20)</f>
        <v>29437.23</v>
      </c>
    </row>
    <row r="23" customFormat="false" ht="15" hidden="false" customHeight="false" outlineLevel="0" collapsed="false">
      <c r="A23" s="14" t="s">
        <v>123</v>
      </c>
      <c r="E23" s="25" t="n">
        <f aca="false">-Inputs!$B$12</f>
        <v>-190.6</v>
      </c>
    </row>
    <row r="24" customFormat="false" ht="15" hidden="false" customHeight="false" outlineLevel="0" collapsed="false">
      <c r="A24" s="14" t="s">
        <v>124</v>
      </c>
      <c r="E24" s="25" t="n">
        <f aca="false">-Inputs!$B$17</f>
        <v>-45182.77</v>
      </c>
    </row>
    <row r="25" customFormat="false" ht="15" hidden="false" customHeight="false" outlineLevel="0" collapsed="false">
      <c r="A25" s="52" t="s">
        <v>125</v>
      </c>
      <c r="B25" s="53"/>
      <c r="C25" s="53"/>
      <c r="D25" s="53"/>
      <c r="E25" s="54" t="n">
        <f aca="false">E21+SUM(E23:E24)</f>
        <v>-15936.14</v>
      </c>
    </row>
    <row r="27" customFormat="false" ht="27.75" hidden="false" customHeight="true" outlineLevel="0" collapsed="false">
      <c r="A27" s="51" t="s">
        <v>126</v>
      </c>
      <c r="B27" s="51"/>
      <c r="C27" s="51"/>
      <c r="D27" s="51"/>
      <c r="E27" s="51"/>
      <c r="F27" s="51"/>
      <c r="G27" s="51"/>
    </row>
  </sheetData>
  <mergeCells count="5">
    <mergeCell ref="A1:G1"/>
    <mergeCell ref="A3:G3"/>
    <mergeCell ref="A13:G13"/>
    <mergeCell ref="A15:G15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24" hidden="false" customHeight="true" outlineLevel="0" collapsed="false">
      <c r="A1" s="10" t="s">
        <v>127</v>
      </c>
      <c r="B1" s="10"/>
      <c r="C1" s="10"/>
    </row>
    <row r="3" customFormat="false" ht="15" hidden="false" customHeight="false" outlineLevel="0" collapsed="false">
      <c r="A3" s="55" t="s">
        <v>128</v>
      </c>
      <c r="B3" s="55"/>
      <c r="C3" s="55"/>
    </row>
    <row r="4" customFormat="false" ht="15" hidden="false" customHeight="false" outlineLevel="0" collapsed="false">
      <c r="A4" s="55" t="s">
        <v>129</v>
      </c>
      <c r="B4" s="55"/>
      <c r="C4" s="55"/>
    </row>
    <row r="6" customFormat="false" ht="15" hidden="false" customHeight="false" outlineLevel="0" collapsed="false">
      <c r="A6" s="6" t="s">
        <v>130</v>
      </c>
      <c r="B6" s="6"/>
      <c r="C6" s="6"/>
    </row>
    <row r="7" customFormat="false" ht="15" hidden="false" customHeight="false" outlineLevel="0" collapsed="false">
      <c r="A7" s="14" t="s">
        <v>131</v>
      </c>
      <c r="B7" s="17" t="n">
        <f aca="false">Inputs!$B$48</f>
        <v>50000</v>
      </c>
      <c r="C7" s="16" t="s">
        <v>132</v>
      </c>
    </row>
    <row r="8" customFormat="false" ht="15" hidden="false" customHeight="false" outlineLevel="0" collapsed="false">
      <c r="A8" s="14" t="s">
        <v>133</v>
      </c>
      <c r="B8" s="15" t="n">
        <f aca="false">Inputs!$B$49</f>
        <v>8000</v>
      </c>
      <c r="C8" s="16" t="s">
        <v>134</v>
      </c>
    </row>
    <row r="9" customFormat="false" ht="15" hidden="false" customHeight="false" outlineLevel="0" collapsed="false">
      <c r="A9" s="56" t="s">
        <v>135</v>
      </c>
      <c r="B9" s="57" t="n">
        <f aca="false">Inputs!$B$48-Inputs!$B$49</f>
        <v>42000</v>
      </c>
      <c r="C9" s="58" t="s">
        <v>136</v>
      </c>
    </row>
    <row r="11" customFormat="false" ht="15" hidden="false" customHeight="false" outlineLevel="0" collapsed="false">
      <c r="A11" s="6" t="s">
        <v>137</v>
      </c>
      <c r="B11" s="6"/>
      <c r="C11" s="6"/>
    </row>
    <row r="12" customFormat="false" ht="15" hidden="false" customHeight="false" outlineLevel="0" collapsed="false">
      <c r="A12" s="14" t="s">
        <v>138</v>
      </c>
      <c r="B12" s="17" t="n">
        <f aca="false">Inputs!$B$47</f>
        <v>15000</v>
      </c>
      <c r="C12" s="16" t="s">
        <v>139</v>
      </c>
    </row>
    <row r="13" customFormat="false" ht="15" hidden="false" customHeight="false" outlineLevel="0" collapsed="false">
      <c r="A13" s="14" t="s">
        <v>140</v>
      </c>
      <c r="B13" s="17" t="n">
        <f aca="false">Inputs!$B$47</f>
        <v>15000</v>
      </c>
      <c r="C13" s="16" t="s">
        <v>141</v>
      </c>
    </row>
    <row r="14" customFormat="false" ht="15" hidden="false" customHeight="false" outlineLevel="0" collapsed="false">
      <c r="A14" s="14" t="s">
        <v>142</v>
      </c>
      <c r="B14" s="17" t="n">
        <f aca="false">-0.15*Inputs!$B$47</f>
        <v>-2250</v>
      </c>
      <c r="C14" s="16" t="s">
        <v>143</v>
      </c>
    </row>
    <row r="15" customFormat="false" ht="15" hidden="false" customHeight="false" outlineLevel="0" collapsed="false">
      <c r="A15" s="14" t="s">
        <v>144</v>
      </c>
      <c r="B15" s="17" t="n">
        <f aca="false">-0.32*Inputs!$B$47</f>
        <v>-4800</v>
      </c>
      <c r="C15" s="16" t="s">
        <v>145</v>
      </c>
    </row>
    <row r="16" customFormat="false" ht="15" hidden="false" customHeight="false" outlineLevel="0" collapsed="false">
      <c r="A16" s="56" t="s">
        <v>146</v>
      </c>
      <c r="B16" s="57" t="n">
        <f aca="false">(0.32-0.15)*Inputs!$B$47</f>
        <v>2550</v>
      </c>
      <c r="C16" s="58" t="s">
        <v>147</v>
      </c>
    </row>
    <row r="17" customFormat="false" ht="15" hidden="false" customHeight="false" outlineLevel="0" collapsed="false">
      <c r="A17" s="14" t="s">
        <v>148</v>
      </c>
      <c r="B17" s="17" t="n">
        <f aca="false">0.85*Inputs!$B$47</f>
        <v>12750</v>
      </c>
      <c r="C17" s="16" t="s">
        <v>149</v>
      </c>
    </row>
    <row r="19" customFormat="false" ht="15" hidden="false" customHeight="false" outlineLevel="0" collapsed="false">
      <c r="A19" s="6" t="s">
        <v>150</v>
      </c>
      <c r="B19" s="6"/>
      <c r="C19" s="6"/>
    </row>
    <row r="20" customFormat="false" ht="30" hidden="false" customHeight="true" outlineLevel="0" collapsed="false">
      <c r="A20" s="59" t="s">
        <v>151</v>
      </c>
      <c r="B20" s="59"/>
      <c r="C20" s="59"/>
    </row>
    <row r="21" customFormat="false" ht="30" hidden="false" customHeight="true" outlineLevel="0" collapsed="false">
      <c r="A21" s="59" t="s">
        <v>152</v>
      </c>
      <c r="B21" s="59"/>
      <c r="C21" s="59"/>
    </row>
    <row r="22" customFormat="false" ht="30" hidden="false" customHeight="true" outlineLevel="0" collapsed="false">
      <c r="A22" s="59" t="s">
        <v>153</v>
      </c>
      <c r="B22" s="59"/>
      <c r="C22" s="59"/>
    </row>
    <row r="23" customFormat="false" ht="30" hidden="false" customHeight="true" outlineLevel="0" collapsed="false">
      <c r="A23" s="59" t="s">
        <v>154</v>
      </c>
      <c r="B23" s="59"/>
      <c r="C23" s="59"/>
    </row>
  </sheetData>
  <mergeCells count="10">
    <mergeCell ref="A1:C1"/>
    <mergeCell ref="A3:C3"/>
    <mergeCell ref="A4:C4"/>
    <mergeCell ref="A6:C6"/>
    <mergeCell ref="A11:C11"/>
    <mergeCell ref="A19:C19"/>
    <mergeCell ref="A20:C20"/>
    <mergeCell ref="A21:C21"/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24" hidden="false" customHeight="true" outlineLevel="0" collapsed="false">
      <c r="A1" s="10" t="s">
        <v>155</v>
      </c>
      <c r="B1" s="10"/>
      <c r="C1" s="10"/>
    </row>
    <row r="3" customFormat="false" ht="15" hidden="false" customHeight="false" outlineLevel="0" collapsed="false">
      <c r="A3" s="6" t="s">
        <v>156</v>
      </c>
      <c r="B3" s="6"/>
      <c r="C3" s="6"/>
    </row>
    <row r="4" customFormat="false" ht="15" hidden="false" customHeight="false" outlineLevel="0" collapsed="false">
      <c r="A4" s="14" t="s">
        <v>157</v>
      </c>
      <c r="B4" s="15" t="n">
        <f aca="false">Inputs!$B$38</f>
        <v>680000</v>
      </c>
      <c r="C4" s="16" t="s">
        <v>158</v>
      </c>
    </row>
    <row r="5" customFormat="false" ht="15" hidden="false" customHeight="false" outlineLevel="0" collapsed="false">
      <c r="A5" s="22" t="s">
        <v>159</v>
      </c>
      <c r="B5" s="17" t="n">
        <f aca="false">Inputs!$B$38*Inputs!$B$39</f>
        <v>34000</v>
      </c>
      <c r="C5" s="16" t="s">
        <v>160</v>
      </c>
    </row>
    <row r="6" customFormat="false" ht="15" hidden="false" customHeight="false" outlineLevel="0" collapsed="false">
      <c r="A6" s="14" t="s">
        <v>161</v>
      </c>
      <c r="B6" s="17" t="n">
        <f aca="false">Inputs!$B$41</f>
        <v>3000</v>
      </c>
      <c r="C6" s="16" t="s">
        <v>162</v>
      </c>
    </row>
    <row r="7" customFormat="false" ht="15" hidden="false" customHeight="false" outlineLevel="0" collapsed="false">
      <c r="A7" s="14" t="s">
        <v>163</v>
      </c>
      <c r="B7" s="17" t="n">
        <f aca="false">-Inputs!$B$40</f>
        <v>-10000</v>
      </c>
      <c r="C7" s="16" t="s">
        <v>164</v>
      </c>
    </row>
    <row r="8" customFormat="false" ht="15" hidden="false" customHeight="false" outlineLevel="0" collapsed="false">
      <c r="A8" s="56" t="s">
        <v>165</v>
      </c>
      <c r="B8" s="57" t="n">
        <f aca="false">Inputs!$B$38*Inputs!$B$39+Inputs!$B$41-Inputs!$B$40</f>
        <v>27000</v>
      </c>
      <c r="C8" s="58" t="s">
        <v>166</v>
      </c>
    </row>
    <row r="10" customFormat="false" ht="15" hidden="false" customHeight="false" outlineLevel="0" collapsed="false">
      <c r="A10" s="6" t="s">
        <v>167</v>
      </c>
      <c r="B10" s="6"/>
      <c r="C10" s="6"/>
    </row>
    <row r="11" customFormat="false" ht="15" hidden="false" customHeight="false" outlineLevel="0" collapsed="false">
      <c r="A11" s="14" t="s">
        <v>168</v>
      </c>
      <c r="B11" s="15" t="n">
        <f aca="false">Inputs!$B$10</f>
        <v>3000</v>
      </c>
      <c r="C11" s="16" t="s">
        <v>169</v>
      </c>
    </row>
    <row r="12" customFormat="false" ht="15" hidden="false" customHeight="false" outlineLevel="0" collapsed="false">
      <c r="A12" s="14" t="s">
        <v>170</v>
      </c>
      <c r="B12" s="17" t="n">
        <f aca="false">'Income &amp; Tax'!C14-Budget!C15</f>
        <v>2401.74320333333</v>
      </c>
    </row>
    <row r="13" customFormat="false" ht="15" hidden="false" customHeight="false" outlineLevel="0" collapsed="false">
      <c r="A13" s="22" t="s">
        <v>171</v>
      </c>
      <c r="B13" s="60" t="n">
        <f aca="false">ROUNDUP(((Inputs!$B$38*Inputs!$B$39+Inputs!$B$41-Inputs!$B$40)-Inputs!$B$10)/B12,0)</f>
        <v>10</v>
      </c>
      <c r="C13" s="16" t="s">
        <v>172</v>
      </c>
    </row>
    <row r="15" customFormat="false" ht="15" hidden="false" customHeight="false" outlineLevel="0" collapsed="false">
      <c r="A15" s="6" t="s">
        <v>173</v>
      </c>
      <c r="B15" s="6"/>
      <c r="C15" s="6"/>
    </row>
    <row r="16" customFormat="false" ht="33.75" hidden="false" customHeight="true" outlineLevel="0" collapsed="false">
      <c r="A16" s="59" t="s">
        <v>174</v>
      </c>
      <c r="B16" s="59"/>
      <c r="C16" s="59"/>
    </row>
    <row r="17" customFormat="false" ht="33.75" hidden="false" customHeight="true" outlineLevel="0" collapsed="false">
      <c r="A17" s="59" t="s">
        <v>175</v>
      </c>
      <c r="B17" s="59"/>
      <c r="C17" s="59"/>
    </row>
    <row r="18" customFormat="false" ht="33.75" hidden="false" customHeight="true" outlineLevel="0" collapsed="false">
      <c r="A18" s="59" t="s">
        <v>176</v>
      </c>
      <c r="B18" s="59"/>
      <c r="C18" s="59"/>
    </row>
    <row r="19" customFormat="false" ht="33.75" hidden="false" customHeight="true" outlineLevel="0" collapsed="false">
      <c r="A19" s="59" t="s">
        <v>177</v>
      </c>
      <c r="B19" s="59"/>
      <c r="C19" s="59"/>
    </row>
    <row r="21" customFormat="false" ht="15" hidden="false" customHeight="false" outlineLevel="0" collapsed="false">
      <c r="A21" s="6" t="s">
        <v>178</v>
      </c>
      <c r="B21" s="6"/>
      <c r="C21" s="6"/>
    </row>
    <row r="22" customFormat="false" ht="27.75" hidden="false" customHeight="true" outlineLevel="0" collapsed="false">
      <c r="A22" s="59" t="s">
        <v>179</v>
      </c>
      <c r="B22" s="59"/>
      <c r="C22" s="59"/>
    </row>
    <row r="23" customFormat="false" ht="27.75" hidden="false" customHeight="true" outlineLevel="0" collapsed="false">
      <c r="A23" s="59" t="s">
        <v>180</v>
      </c>
      <c r="B23" s="59"/>
      <c r="C23" s="59"/>
    </row>
    <row r="24" customFormat="false" ht="27.75" hidden="false" customHeight="true" outlineLevel="0" collapsed="false">
      <c r="A24" s="59" t="s">
        <v>181</v>
      </c>
      <c r="B24" s="59"/>
      <c r="C24" s="59"/>
    </row>
    <row r="25" customFormat="false" ht="27.75" hidden="false" customHeight="true" outlineLevel="0" collapsed="false">
      <c r="A25" s="59" t="s">
        <v>182</v>
      </c>
      <c r="B25" s="59"/>
      <c r="C25" s="59"/>
    </row>
  </sheetData>
  <mergeCells count="13">
    <mergeCell ref="A1:C1"/>
    <mergeCell ref="A3:C3"/>
    <mergeCell ref="A10:C10"/>
    <mergeCell ref="A15:C15"/>
    <mergeCell ref="A16:C16"/>
    <mergeCell ref="A17:C17"/>
    <mergeCell ref="A18:C18"/>
    <mergeCell ref="A19:C19"/>
    <mergeCell ref="A21:C21"/>
    <mergeCell ref="A22:C22"/>
    <mergeCell ref="A23:C23"/>
    <mergeCell ref="A24:C24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24" hidden="false" customHeight="true" outlineLevel="0" collapsed="false">
      <c r="A1" s="10" t="s">
        <v>183</v>
      </c>
      <c r="B1" s="10"/>
      <c r="C1" s="10"/>
    </row>
    <row r="3" customFormat="false" ht="15" hidden="false" customHeight="false" outlineLevel="0" collapsed="false">
      <c r="A3" s="6" t="s">
        <v>184</v>
      </c>
      <c r="B3" s="6"/>
      <c r="C3" s="6"/>
    </row>
    <row r="4" customFormat="false" ht="15" hidden="false" customHeight="false" outlineLevel="0" collapsed="false">
      <c r="A4" s="61" t="s">
        <v>185</v>
      </c>
      <c r="B4" s="62" t="n">
        <v>68000</v>
      </c>
      <c r="C4" s="63" t="s">
        <v>186</v>
      </c>
    </row>
    <row r="5" customFormat="false" ht="15" hidden="false" customHeight="false" outlineLevel="0" collapsed="false">
      <c r="A5" s="61" t="s">
        <v>187</v>
      </c>
      <c r="B5" s="64" t="n">
        <v>0.12</v>
      </c>
      <c r="C5" s="63" t="s">
        <v>188</v>
      </c>
    </row>
    <row r="6" customFormat="false" ht="15" hidden="false" customHeight="false" outlineLevel="0" collapsed="false">
      <c r="A6" s="61" t="s">
        <v>189</v>
      </c>
      <c r="B6" s="64" t="n">
        <v>0.8</v>
      </c>
      <c r="C6" s="63" t="s">
        <v>190</v>
      </c>
    </row>
    <row r="8" customFormat="false" ht="15" hidden="false" customHeight="false" outlineLevel="0" collapsed="false">
      <c r="A8" s="6" t="s">
        <v>191</v>
      </c>
      <c r="B8" s="6"/>
      <c r="C8" s="6"/>
    </row>
    <row r="9" customFormat="false" ht="15" hidden="false" customHeight="false" outlineLevel="0" collapsed="false">
      <c r="A9" s="61" t="s">
        <v>192</v>
      </c>
      <c r="B9" s="62" t="n">
        <v>0</v>
      </c>
      <c r="C9" s="63" t="s">
        <v>193</v>
      </c>
    </row>
    <row r="10" customFormat="false" ht="15" hidden="false" customHeight="false" outlineLevel="0" collapsed="false">
      <c r="A10" s="61" t="s">
        <v>194</v>
      </c>
      <c r="B10" s="62" t="n">
        <v>3000</v>
      </c>
      <c r="C10" s="63" t="s">
        <v>195</v>
      </c>
    </row>
    <row r="11" customFormat="false" ht="15" hidden="false" customHeight="false" outlineLevel="0" collapsed="false">
      <c r="A11" s="61" t="s">
        <v>196</v>
      </c>
      <c r="B11" s="62" t="n">
        <v>3100</v>
      </c>
      <c r="C11" s="63" t="s">
        <v>197</v>
      </c>
    </row>
    <row r="12" customFormat="false" ht="15" hidden="false" customHeight="false" outlineLevel="0" collapsed="false">
      <c r="A12" s="61" t="s">
        <v>198</v>
      </c>
      <c r="B12" s="65" t="n">
        <v>190.6</v>
      </c>
      <c r="C12" s="63" t="s">
        <v>199</v>
      </c>
    </row>
    <row r="13" customFormat="false" ht="15" hidden="false" customHeight="false" outlineLevel="0" collapsed="false">
      <c r="A13" s="61" t="s">
        <v>200</v>
      </c>
      <c r="B13" s="65" t="n">
        <f aca="false">Investments!$E$11</f>
        <v>3546.5</v>
      </c>
      <c r="C13" s="63" t="s">
        <v>201</v>
      </c>
    </row>
    <row r="14" customFormat="false" ht="15" hidden="false" customHeight="false" outlineLevel="0" collapsed="false">
      <c r="A14" s="61" t="s">
        <v>202</v>
      </c>
      <c r="B14" s="65" t="n">
        <v>19790.73</v>
      </c>
      <c r="C14" s="63" t="s">
        <v>203</v>
      </c>
    </row>
    <row r="16" customFormat="false" ht="15" hidden="false" customHeight="false" outlineLevel="0" collapsed="false">
      <c r="A16" s="6" t="s">
        <v>204</v>
      </c>
      <c r="B16" s="6"/>
      <c r="C16" s="6"/>
    </row>
    <row r="17" customFormat="false" ht="15" hidden="false" customHeight="false" outlineLevel="0" collapsed="false">
      <c r="A17" s="61" t="s">
        <v>205</v>
      </c>
      <c r="B17" s="65" t="n">
        <v>45182.77</v>
      </c>
      <c r="C17" s="63" t="s">
        <v>206</v>
      </c>
    </row>
    <row r="18" customFormat="false" ht="15" hidden="false" customHeight="false" outlineLevel="0" collapsed="false">
      <c r="A18" s="61" t="s">
        <v>207</v>
      </c>
      <c r="B18" s="62" t="n">
        <v>8696</v>
      </c>
      <c r="C18" s="63" t="s">
        <v>208</v>
      </c>
    </row>
    <row r="20" customFormat="false" ht="15" hidden="false" customHeight="false" outlineLevel="0" collapsed="false">
      <c r="A20" s="6" t="s">
        <v>209</v>
      </c>
      <c r="B20" s="6"/>
      <c r="C20" s="6"/>
    </row>
    <row r="21" customFormat="false" ht="15" hidden="false" customHeight="false" outlineLevel="0" collapsed="false">
      <c r="A21" s="61" t="s">
        <v>210</v>
      </c>
      <c r="B21" s="62" t="n">
        <v>55</v>
      </c>
      <c r="C21" s="63" t="s">
        <v>211</v>
      </c>
    </row>
    <row r="22" customFormat="false" ht="15" hidden="false" customHeight="false" outlineLevel="0" collapsed="false">
      <c r="A22" s="61" t="s">
        <v>212</v>
      </c>
      <c r="B22" s="65" t="n">
        <v>700.14</v>
      </c>
      <c r="C22" s="63" t="s">
        <v>213</v>
      </c>
    </row>
    <row r="23" customFormat="false" ht="15" hidden="false" customHeight="false" outlineLevel="0" collapsed="false">
      <c r="A23" s="61" t="s">
        <v>214</v>
      </c>
      <c r="B23" s="65" t="n">
        <v>824.6</v>
      </c>
    </row>
    <row r="24" customFormat="false" ht="15" hidden="false" customHeight="false" outlineLevel="0" collapsed="false">
      <c r="A24" s="61" t="s">
        <v>215</v>
      </c>
      <c r="B24" s="65" t="n">
        <v>37.9</v>
      </c>
    </row>
    <row r="25" customFormat="false" ht="15" hidden="false" customHeight="false" outlineLevel="0" collapsed="false">
      <c r="A25" s="61" t="s">
        <v>216</v>
      </c>
      <c r="B25" s="65" t="n">
        <v>128.5</v>
      </c>
      <c r="C25" s="63" t="s">
        <v>217</v>
      </c>
    </row>
    <row r="26" customFormat="false" ht="15" hidden="false" customHeight="false" outlineLevel="0" collapsed="false">
      <c r="A26" s="61" t="s">
        <v>218</v>
      </c>
      <c r="B26" s="66" t="n">
        <v>2</v>
      </c>
      <c r="C26" s="63" t="s">
        <v>219</v>
      </c>
    </row>
    <row r="27" customFormat="false" ht="15" hidden="false" customHeight="false" outlineLevel="0" collapsed="false">
      <c r="A27" s="61" t="s">
        <v>220</v>
      </c>
      <c r="B27" s="65" t="n">
        <v>13.92</v>
      </c>
    </row>
    <row r="28" customFormat="false" ht="15" hidden="false" customHeight="false" outlineLevel="0" collapsed="false">
      <c r="A28" s="61" t="s">
        <v>221</v>
      </c>
      <c r="B28" s="66" t="n">
        <v>32</v>
      </c>
      <c r="C28" s="63" t="s">
        <v>222</v>
      </c>
    </row>
    <row r="29" customFormat="false" ht="15" hidden="false" customHeight="false" outlineLevel="0" collapsed="false">
      <c r="A29" s="61" t="s">
        <v>223</v>
      </c>
      <c r="B29" s="62" t="n">
        <v>34</v>
      </c>
      <c r="C29" s="63" t="s">
        <v>224</v>
      </c>
    </row>
    <row r="30" customFormat="false" ht="15" hidden="false" customHeight="false" outlineLevel="0" collapsed="false">
      <c r="A30" s="61" t="s">
        <v>225</v>
      </c>
      <c r="B30" s="67" t="n">
        <v>36.3</v>
      </c>
      <c r="C30" s="63" t="s">
        <v>226</v>
      </c>
    </row>
    <row r="31" customFormat="false" ht="15" hidden="false" customHeight="false" outlineLevel="0" collapsed="false">
      <c r="A31" s="61" t="s">
        <v>227</v>
      </c>
      <c r="B31" s="68" t="n">
        <v>1.4153</v>
      </c>
      <c r="C31" s="63" t="s">
        <v>228</v>
      </c>
    </row>
    <row r="32" customFormat="false" ht="15" hidden="false" customHeight="false" outlineLevel="0" collapsed="false">
      <c r="A32" s="61" t="s">
        <v>229</v>
      </c>
      <c r="B32" s="62" t="n">
        <v>110</v>
      </c>
      <c r="C32" s="63" t="s">
        <v>230</v>
      </c>
    </row>
    <row r="33" customFormat="false" ht="15" hidden="false" customHeight="false" outlineLevel="0" collapsed="false">
      <c r="A33" s="61" t="s">
        <v>231</v>
      </c>
      <c r="B33" s="62" t="n">
        <v>100</v>
      </c>
      <c r="C33" s="63" t="s">
        <v>232</v>
      </c>
    </row>
    <row r="34" customFormat="false" ht="15" hidden="false" customHeight="false" outlineLevel="0" collapsed="false">
      <c r="A34" s="61" t="s">
        <v>233</v>
      </c>
      <c r="B34" s="62" t="n">
        <v>130</v>
      </c>
      <c r="C34" s="63" t="s">
        <v>234</v>
      </c>
    </row>
    <row r="35" customFormat="false" ht="15" hidden="false" customHeight="false" outlineLevel="0" collapsed="false">
      <c r="A35" s="61" t="s">
        <v>235</v>
      </c>
      <c r="B35" s="62" t="n">
        <v>50</v>
      </c>
      <c r="C35" s="63" t="s">
        <v>236</v>
      </c>
    </row>
    <row r="37" customFormat="false" ht="15" hidden="false" customHeight="false" outlineLevel="0" collapsed="false">
      <c r="A37" s="6" t="s">
        <v>237</v>
      </c>
      <c r="B37" s="6"/>
      <c r="C37" s="6"/>
    </row>
    <row r="38" customFormat="false" ht="15" hidden="false" customHeight="false" outlineLevel="0" collapsed="false">
      <c r="A38" s="61" t="s">
        <v>238</v>
      </c>
      <c r="B38" s="69" t="n">
        <v>680000</v>
      </c>
      <c r="C38" s="63" t="s">
        <v>239</v>
      </c>
    </row>
    <row r="39" customFormat="false" ht="15" hidden="false" customHeight="false" outlineLevel="0" collapsed="false">
      <c r="A39" s="61" t="s">
        <v>240</v>
      </c>
      <c r="B39" s="64" t="n">
        <v>0.05</v>
      </c>
      <c r="C39" s="63" t="s">
        <v>241</v>
      </c>
    </row>
    <row r="40" customFormat="false" ht="15" hidden="false" customHeight="false" outlineLevel="0" collapsed="false">
      <c r="A40" s="61" t="s">
        <v>242</v>
      </c>
      <c r="B40" s="62" t="n">
        <v>10000</v>
      </c>
      <c r="C40" s="63" t="s">
        <v>243</v>
      </c>
    </row>
    <row r="41" customFormat="false" ht="15" hidden="false" customHeight="false" outlineLevel="0" collapsed="false">
      <c r="A41" s="61" t="s">
        <v>244</v>
      </c>
      <c r="B41" s="62" t="n">
        <v>3000</v>
      </c>
      <c r="C41" s="63" t="s">
        <v>245</v>
      </c>
    </row>
    <row r="42" customFormat="false" ht="15" hidden="false" customHeight="false" outlineLevel="0" collapsed="false">
      <c r="A42" s="61" t="s">
        <v>246</v>
      </c>
      <c r="B42" s="66" t="n">
        <v>2029</v>
      </c>
      <c r="C42" s="63" t="s">
        <v>247</v>
      </c>
    </row>
    <row r="43" customFormat="false" ht="15" hidden="false" customHeight="false" outlineLevel="0" collapsed="false">
      <c r="A43" s="61" t="s">
        <v>248</v>
      </c>
      <c r="B43" s="62" t="n">
        <v>5000</v>
      </c>
      <c r="C43" s="63" t="s">
        <v>249</v>
      </c>
    </row>
    <row r="45" customFormat="false" ht="15" hidden="false" customHeight="false" outlineLevel="0" collapsed="false">
      <c r="A45" s="6" t="s">
        <v>250</v>
      </c>
      <c r="B45" s="6"/>
      <c r="C45" s="6"/>
    </row>
    <row r="46" customFormat="false" ht="15" hidden="false" customHeight="false" outlineLevel="0" collapsed="false">
      <c r="A46" s="61" t="s">
        <v>251</v>
      </c>
      <c r="B46" s="62" t="n">
        <v>69528</v>
      </c>
      <c r="C46" s="63" t="s">
        <v>252</v>
      </c>
    </row>
    <row r="47" customFormat="false" ht="15" hidden="false" customHeight="false" outlineLevel="0" collapsed="false">
      <c r="A47" s="61" t="s">
        <v>253</v>
      </c>
      <c r="B47" s="62" t="n">
        <v>15000</v>
      </c>
      <c r="C47" s="63" t="s">
        <v>254</v>
      </c>
    </row>
    <row r="48" customFormat="false" ht="15" hidden="false" customHeight="false" outlineLevel="0" collapsed="false">
      <c r="A48" s="61" t="s">
        <v>131</v>
      </c>
      <c r="B48" s="62" t="n">
        <v>50000</v>
      </c>
      <c r="C48" s="63" t="s">
        <v>255</v>
      </c>
    </row>
    <row r="49" customFormat="false" ht="15" hidden="false" customHeight="false" outlineLevel="0" collapsed="false">
      <c r="A49" s="61" t="s">
        <v>256</v>
      </c>
      <c r="B49" s="62" t="n">
        <v>8000</v>
      </c>
      <c r="C49" s="63" t="s">
        <v>257</v>
      </c>
    </row>
  </sheetData>
  <mergeCells count="7">
    <mergeCell ref="A1:C1"/>
    <mergeCell ref="A3:C3"/>
    <mergeCell ref="A8:C8"/>
    <mergeCell ref="A16:C16"/>
    <mergeCell ref="A20:C20"/>
    <mergeCell ref="A37:C37"/>
    <mergeCell ref="A45:C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2026-08-13T07:00:20Z</dcterms:created>
  <dc:creator>openpyxl</dc:creator>
  <dc:description/>
  <dc:language>en-US</dc:language>
  <cp:lastModifiedBy/>
  <dcterms:modified xsi:type="dcterms:W3CDTF">2026-08-13T07:00:20Z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